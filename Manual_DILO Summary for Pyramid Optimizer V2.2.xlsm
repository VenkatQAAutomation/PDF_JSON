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venkat.ramanan\Desktop\BEST practices\DILO\"/>
    </mc:Choice>
  </mc:AlternateContent>
  <xr:revisionPtr revIDLastSave="0" documentId="13_ncr:1_{4623A68F-F45D-4E2B-806D-82986723A0E4}" xr6:coauthVersionLast="46" xr6:coauthVersionMax="46" xr10:uidLastSave="{00000000-0000-0000-0000-000000000000}"/>
  <bookViews>
    <workbookView xWindow="-120" yWindow="-120" windowWidth="20730" windowHeight="11160" tabRatio="729" activeTab="4" xr2:uid="{20D36EAC-23D5-4FBC-9FB1-6F6CD1D7DDBA}"/>
  </bookViews>
  <sheets>
    <sheet name="Instructions" sheetId="7" r:id="rId1"/>
    <sheet name="Resource Details" sheetId="3" state="veryHidden" r:id="rId2"/>
    <sheet name="Daily Tasks" sheetId="4" state="veryHidden" r:id="rId3"/>
    <sheet name="Additional Tasks" sheetId="5" state="veryHidden" r:id="rId4"/>
    <sheet name="Summary" sheetId="6" r:id="rId5"/>
    <sheet name="DILO Observations" sheetId="8" r:id="rId6"/>
    <sheet name="Look-up" sheetId="2" r:id="rId7"/>
  </sheets>
  <calcPr calcId="191029"/>
  <pivotCaches>
    <pivotCache cacheId="0" r:id="rId8"/>
    <pivotCache cacheId="1"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93" i="2" l="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C3" i="8" l="1"/>
  <c r="C2" i="8"/>
  <c r="M100" i="6" l="1"/>
  <c r="M99" i="6"/>
  <c r="M98" i="6"/>
  <c r="M97" i="6"/>
  <c r="M96" i="6"/>
  <c r="M95" i="6"/>
  <c r="M94" i="6"/>
  <c r="M93" i="6"/>
  <c r="M92" i="6"/>
  <c r="M91" i="6"/>
  <c r="M90" i="6"/>
  <c r="M89" i="6"/>
  <c r="M88" i="6"/>
  <c r="M87" i="6"/>
  <c r="M86" i="6"/>
  <c r="M85" i="6"/>
  <c r="M84" i="6"/>
  <c r="M83" i="6"/>
  <c r="M82" i="6"/>
  <c r="M81" i="6"/>
  <c r="M80" i="6"/>
  <c r="M79" i="6"/>
  <c r="M78" i="6"/>
  <c r="M77" i="6"/>
  <c r="M76" i="6"/>
  <c r="M75" i="6"/>
  <c r="M74" i="6"/>
  <c r="M73" i="6"/>
  <c r="M72" i="6"/>
  <c r="M71" i="6"/>
  <c r="M70" i="6"/>
  <c r="M69" i="6"/>
  <c r="M68" i="6"/>
  <c r="M67" i="6"/>
  <c r="M66" i="6"/>
  <c r="M65" i="6"/>
  <c r="M64" i="6"/>
  <c r="M63" i="6"/>
  <c r="M62" i="6"/>
  <c r="M61" i="6"/>
  <c r="M60" i="6"/>
  <c r="M59" i="6"/>
  <c r="M58" i="6"/>
  <c r="M57" i="6"/>
  <c r="M56" i="6"/>
  <c r="M55" i="6"/>
  <c r="M54" i="6"/>
  <c r="M53" i="6"/>
  <c r="M52" i="6"/>
  <c r="M51" i="6"/>
  <c r="M50" i="6"/>
  <c r="M49" i="6"/>
  <c r="M48" i="6"/>
  <c r="M47" i="6"/>
  <c r="M46" i="6"/>
  <c r="M45" i="6"/>
  <c r="M44" i="6"/>
  <c r="M43" i="6"/>
  <c r="M42" i="6"/>
  <c r="M41" i="6"/>
  <c r="M40" i="6"/>
  <c r="M39" i="6"/>
  <c r="M38" i="6"/>
  <c r="M37" i="6"/>
  <c r="M36" i="6"/>
  <c r="M35" i="6"/>
  <c r="M34" i="6"/>
  <c r="M33" i="6"/>
  <c r="M32" i="6"/>
  <c r="M31" i="6"/>
  <c r="M30" i="6"/>
  <c r="M29" i="6"/>
  <c r="M28" i="6"/>
  <c r="M27" i="6"/>
  <c r="M26" i="6"/>
  <c r="M25" i="6"/>
  <c r="M24" i="6"/>
  <c r="M23" i="6"/>
  <c r="M22" i="6"/>
  <c r="M21" i="6"/>
  <c r="M20" i="6"/>
  <c r="M19" i="6"/>
  <c r="M18" i="6"/>
  <c r="M17" i="6"/>
  <c r="M16" i="6"/>
  <c r="M15" i="6"/>
  <c r="M14" i="6"/>
  <c r="M13" i="6"/>
  <c r="M12" i="6"/>
  <c r="M11" i="6"/>
  <c r="M10" i="6"/>
  <c r="M9" i="6"/>
  <c r="M8" i="6"/>
  <c r="M7" i="6"/>
  <c r="M6" i="6"/>
  <c r="M5" i="6"/>
  <c r="CG1" i="2" l="1"/>
  <c r="CH1" i="2" s="1"/>
  <c r="CI1" i="2" s="1"/>
  <c r="CJ1" i="2" s="1"/>
  <c r="CK1" i="2" s="1"/>
  <c r="CL1" i="2" s="1"/>
  <c r="CM1" i="2" s="1"/>
  <c r="CN1" i="2" s="1"/>
  <c r="CO1" i="2" s="1"/>
  <c r="CP1" i="2" s="1"/>
  <c r="CQ1" i="2" l="1"/>
  <c r="CR1" i="2" s="1"/>
  <c r="CS1" i="2" s="1"/>
  <c r="L100" i="6"/>
  <c r="K100" i="6"/>
  <c r="L99" i="6"/>
  <c r="K99" i="6"/>
  <c r="L98" i="6"/>
  <c r="K98" i="6"/>
  <c r="L97" i="6"/>
  <c r="K97" i="6"/>
  <c r="L96" i="6"/>
  <c r="K96" i="6"/>
  <c r="L95" i="6"/>
  <c r="K95" i="6"/>
  <c r="L94" i="6"/>
  <c r="K94" i="6"/>
  <c r="L93" i="6"/>
  <c r="K93" i="6"/>
  <c r="L92" i="6"/>
  <c r="K92" i="6"/>
  <c r="L91" i="6"/>
  <c r="K91" i="6"/>
  <c r="L90" i="6"/>
  <c r="K90" i="6"/>
  <c r="L89" i="6"/>
  <c r="K89" i="6"/>
  <c r="L88" i="6"/>
  <c r="K88" i="6"/>
  <c r="L87" i="6"/>
  <c r="K87" i="6"/>
  <c r="L86" i="6"/>
  <c r="K86" i="6"/>
  <c r="L85" i="6"/>
  <c r="K85" i="6"/>
  <c r="L84" i="6"/>
  <c r="K84" i="6"/>
  <c r="L83" i="6"/>
  <c r="K83" i="6"/>
  <c r="L82" i="6"/>
  <c r="K82" i="6"/>
  <c r="L81" i="6"/>
  <c r="K81" i="6"/>
  <c r="L80" i="6"/>
  <c r="K80" i="6"/>
  <c r="L79" i="6"/>
  <c r="K79" i="6"/>
  <c r="L78" i="6"/>
  <c r="K78" i="6"/>
  <c r="L77" i="6"/>
  <c r="K77" i="6"/>
  <c r="L76" i="6"/>
  <c r="K76" i="6"/>
  <c r="L75" i="6"/>
  <c r="K75" i="6"/>
  <c r="L74" i="6"/>
  <c r="K74" i="6"/>
  <c r="L73" i="6"/>
  <c r="K73" i="6"/>
  <c r="L72" i="6"/>
  <c r="K72" i="6"/>
  <c r="L71" i="6"/>
  <c r="K71" i="6"/>
  <c r="L70" i="6"/>
  <c r="K70" i="6"/>
  <c r="L69" i="6"/>
  <c r="K69" i="6"/>
  <c r="L68" i="6"/>
  <c r="K68" i="6"/>
  <c r="L67" i="6"/>
  <c r="K67" i="6"/>
  <c r="L66" i="6"/>
  <c r="K66" i="6"/>
  <c r="L65" i="6"/>
  <c r="K65" i="6"/>
  <c r="L64" i="6"/>
  <c r="K64" i="6"/>
  <c r="L63" i="6"/>
  <c r="K63" i="6"/>
  <c r="L62" i="6"/>
  <c r="K62" i="6"/>
  <c r="L61" i="6"/>
  <c r="K61" i="6"/>
  <c r="L60" i="6"/>
  <c r="K60" i="6"/>
  <c r="L59" i="6"/>
  <c r="K59" i="6"/>
  <c r="L58" i="6"/>
  <c r="K58" i="6"/>
  <c r="L57" i="6"/>
  <c r="K57" i="6"/>
  <c r="L56" i="6"/>
  <c r="K56" i="6"/>
  <c r="L55" i="6"/>
  <c r="K55" i="6"/>
  <c r="L54" i="6"/>
  <c r="K54" i="6"/>
  <c r="L53" i="6"/>
  <c r="K53" i="6"/>
  <c r="L52" i="6"/>
  <c r="K52" i="6"/>
  <c r="L51" i="6"/>
  <c r="K51" i="6"/>
  <c r="L50" i="6"/>
  <c r="K50" i="6"/>
  <c r="L49" i="6"/>
  <c r="K49" i="6"/>
  <c r="L48" i="6"/>
  <c r="K48" i="6"/>
  <c r="L47" i="6"/>
  <c r="K47" i="6"/>
  <c r="L46" i="6"/>
  <c r="K46" i="6"/>
  <c r="L45" i="6"/>
  <c r="K45" i="6"/>
  <c r="L44" i="6"/>
  <c r="K44" i="6"/>
  <c r="L43" i="6"/>
  <c r="K43" i="6"/>
  <c r="L42" i="6"/>
  <c r="K42" i="6"/>
  <c r="L41" i="6"/>
  <c r="K41" i="6"/>
  <c r="L40" i="6"/>
  <c r="K40" i="6"/>
  <c r="L39" i="6"/>
  <c r="K39" i="6"/>
  <c r="L38" i="6"/>
  <c r="K38" i="6"/>
  <c r="L37" i="6"/>
  <c r="K37" i="6"/>
  <c r="L36" i="6"/>
  <c r="K36" i="6"/>
  <c r="L35" i="6"/>
  <c r="K35" i="6"/>
  <c r="L34" i="6"/>
  <c r="K34" i="6"/>
  <c r="L33" i="6"/>
  <c r="K33" i="6"/>
  <c r="L32" i="6"/>
  <c r="K32" i="6"/>
  <c r="L31" i="6"/>
  <c r="K31" i="6"/>
  <c r="L30" i="6"/>
  <c r="K30" i="6"/>
  <c r="L29" i="6"/>
  <c r="K29" i="6"/>
  <c r="L28" i="6"/>
  <c r="K28" i="6"/>
  <c r="L27" i="6"/>
  <c r="K27" i="6"/>
  <c r="L26" i="6"/>
  <c r="K26" i="6"/>
  <c r="L25" i="6"/>
  <c r="K25" i="6"/>
  <c r="L24" i="6"/>
  <c r="K24" i="6"/>
  <c r="L23" i="6"/>
  <c r="K23" i="6"/>
  <c r="L22" i="6"/>
  <c r="K22" i="6"/>
  <c r="L21" i="6"/>
  <c r="K21" i="6"/>
  <c r="L20" i="6"/>
  <c r="K20" i="6"/>
  <c r="L19" i="6"/>
  <c r="K19" i="6"/>
  <c r="L18" i="6"/>
  <c r="K18" i="6"/>
  <c r="L17" i="6"/>
  <c r="K17" i="6"/>
  <c r="L16" i="6"/>
  <c r="K16" i="6"/>
  <c r="L15" i="6"/>
  <c r="K15" i="6"/>
  <c r="L14" i="6"/>
  <c r="K14" i="6"/>
  <c r="L13" i="6"/>
  <c r="K13" i="6"/>
  <c r="L12" i="6"/>
  <c r="K12" i="6"/>
  <c r="L11" i="6"/>
  <c r="K11" i="6"/>
  <c r="L10" i="6"/>
  <c r="K10" i="6"/>
  <c r="L9" i="6"/>
  <c r="K9" i="6"/>
  <c r="L8" i="6"/>
  <c r="K8" i="6"/>
  <c r="L7" i="6"/>
  <c r="K7" i="6"/>
  <c r="L6" i="6"/>
  <c r="K6" i="6"/>
  <c r="I100" i="6"/>
  <c r="I99" i="6"/>
  <c r="I98" i="6"/>
  <c r="I97" i="6"/>
  <c r="I96" i="6"/>
  <c r="I95" i="6"/>
  <c r="I94" i="6"/>
  <c r="I93" i="6"/>
  <c r="I92" i="6"/>
  <c r="I91" i="6"/>
  <c r="I90" i="6"/>
  <c r="I89" i="6"/>
  <c r="I88" i="6"/>
  <c r="I87" i="6"/>
  <c r="I86" i="6"/>
  <c r="I85" i="6"/>
  <c r="I84" i="6"/>
  <c r="I83" i="6"/>
  <c r="I82" i="6"/>
  <c r="I81" i="6"/>
  <c r="I80" i="6"/>
  <c r="I79" i="6"/>
  <c r="I78" i="6"/>
  <c r="I77" i="6"/>
  <c r="I76" i="6"/>
  <c r="I75" i="6"/>
  <c r="I74" i="6"/>
  <c r="I73" i="6"/>
  <c r="I72" i="6"/>
  <c r="I71" i="6"/>
  <c r="I70" i="6"/>
  <c r="I69" i="6"/>
  <c r="I68" i="6"/>
  <c r="I67" i="6"/>
  <c r="I66" i="6"/>
  <c r="I65" i="6"/>
  <c r="I64" i="6"/>
  <c r="I63" i="6"/>
  <c r="I62" i="6"/>
  <c r="I61" i="6"/>
  <c r="I60" i="6"/>
  <c r="I59" i="6"/>
  <c r="I58" i="6"/>
  <c r="I57" i="6"/>
  <c r="I56" i="6"/>
  <c r="I55" i="6"/>
  <c r="I54" i="6"/>
  <c r="I53" i="6"/>
  <c r="I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I12" i="6"/>
  <c r="I11" i="6"/>
  <c r="I10" i="6"/>
  <c r="I9" i="6"/>
  <c r="I8" i="6"/>
  <c r="I7" i="6"/>
  <c r="I6" i="6"/>
  <c r="F3" i="6"/>
  <c r="L110" i="6" l="1"/>
  <c r="K110" i="6"/>
  <c r="L109" i="6"/>
  <c r="K109" i="6"/>
  <c r="L108" i="6"/>
  <c r="K108" i="6"/>
  <c r="AH107" i="6"/>
  <c r="L107" i="6"/>
  <c r="K107" i="6"/>
  <c r="AH106" i="6"/>
  <c r="L106" i="6"/>
  <c r="K106" i="6"/>
  <c r="AH105" i="6"/>
  <c r="L105" i="6"/>
  <c r="K105" i="6"/>
  <c r="AH104" i="6"/>
  <c r="L104" i="6"/>
  <c r="K104" i="6"/>
  <c r="AH103" i="6"/>
  <c r="L103" i="6"/>
  <c r="K103" i="6"/>
  <c r="AH102" i="6"/>
  <c r="L102" i="6"/>
  <c r="K102" i="6"/>
  <c r="AH101" i="6"/>
  <c r="L101" i="6"/>
  <c r="K101" i="6"/>
  <c r="L5" i="6"/>
  <c r="K5" i="6"/>
  <c r="I5" i="6"/>
  <c r="I3" i="6" s="1"/>
  <c r="F2" i="6"/>
  <c r="D2" i="6"/>
  <c r="CS1" i="6"/>
  <c r="CT1" i="6" s="1"/>
  <c r="CU1" i="6" s="1"/>
  <c r="CV1" i="6" s="1"/>
  <c r="CW1" i="6" s="1"/>
  <c r="CX1" i="6" s="1"/>
  <c r="CY1" i="6" s="1"/>
  <c r="BE1" i="6"/>
  <c r="BF1" i="6" s="1"/>
  <c r="AI1" i="6"/>
  <c r="AJ1" i="6" s="1"/>
  <c r="AK1" i="6" s="1"/>
  <c r="AL1" i="6" s="1"/>
  <c r="AM1" i="6" s="1"/>
  <c r="AN1" i="6" s="1"/>
  <c r="AO1" i="6" s="1"/>
  <c r="AP1" i="6" s="1"/>
  <c r="AQ1" i="6" s="1"/>
  <c r="AR1" i="6" s="1"/>
  <c r="AS1" i="6" s="1"/>
  <c r="AT1" i="6" s="1"/>
  <c r="AU1" i="6" s="1"/>
  <c r="AV1" i="6" s="1"/>
  <c r="I1" i="6"/>
  <c r="D1" i="6"/>
  <c r="M3" i="6" l="1"/>
  <c r="C17" i="5"/>
  <c r="C16" i="5"/>
  <c r="C15" i="5"/>
  <c r="C14" i="5"/>
  <c r="C13" i="5"/>
  <c r="C7" i="5"/>
  <c r="C8" i="5" s="1"/>
  <c r="C9" i="5" s="1"/>
  <c r="C10" i="5" s="1"/>
  <c r="C11" i="5" s="1"/>
  <c r="C12" i="5" s="1"/>
  <c r="R245" i="4" l="1"/>
  <c r="R244" i="4"/>
  <c r="R243" i="4"/>
  <c r="R242" i="4"/>
  <c r="R241" i="4"/>
  <c r="R240" i="4"/>
  <c r="R239" i="4"/>
  <c r="R238" i="4"/>
  <c r="R237" i="4"/>
  <c r="R236" i="4"/>
  <c r="R235" i="4"/>
  <c r="R234" i="4"/>
  <c r="R233" i="4"/>
  <c r="R232" i="4"/>
  <c r="R231" i="4"/>
  <c r="R230" i="4"/>
  <c r="R229" i="4"/>
  <c r="R228" i="4"/>
  <c r="R227" i="4"/>
  <c r="R226" i="4"/>
  <c r="R225" i="4"/>
  <c r="R224" i="4"/>
  <c r="R223" i="4"/>
  <c r="R222" i="4"/>
  <c r="R221" i="4"/>
  <c r="R220" i="4"/>
  <c r="R219" i="4"/>
  <c r="R218" i="4"/>
  <c r="R217" i="4"/>
  <c r="R216" i="4"/>
  <c r="R215" i="4"/>
  <c r="R214" i="4"/>
  <c r="R213" i="4"/>
  <c r="R212" i="4"/>
  <c r="R211" i="4"/>
  <c r="R210" i="4"/>
  <c r="R209" i="4"/>
  <c r="R208" i="4"/>
  <c r="R207" i="4"/>
  <c r="R206" i="4"/>
  <c r="R205" i="4"/>
  <c r="R204" i="4"/>
  <c r="R203" i="4"/>
  <c r="R202" i="4"/>
  <c r="R201" i="4"/>
  <c r="R200" i="4"/>
  <c r="R199" i="4"/>
  <c r="R198" i="4"/>
  <c r="R197" i="4"/>
  <c r="R196" i="4"/>
  <c r="R195" i="4"/>
  <c r="R194" i="4"/>
  <c r="R193" i="4"/>
  <c r="R192" i="4"/>
  <c r="R191" i="4"/>
  <c r="R190" i="4"/>
  <c r="R189" i="4"/>
  <c r="R188" i="4"/>
  <c r="R187" i="4"/>
  <c r="R186" i="4"/>
  <c r="R185" i="4"/>
  <c r="R184" i="4"/>
  <c r="R183" i="4"/>
  <c r="R182" i="4"/>
  <c r="R181" i="4"/>
  <c r="R180" i="4"/>
  <c r="R179" i="4"/>
  <c r="R178" i="4"/>
  <c r="R177" i="4"/>
  <c r="R176" i="4"/>
  <c r="R175" i="4"/>
  <c r="R174" i="4"/>
  <c r="R173" i="4"/>
  <c r="R172" i="4"/>
  <c r="R171" i="4"/>
  <c r="R170" i="4"/>
  <c r="R169" i="4"/>
  <c r="R168" i="4"/>
  <c r="R167" i="4"/>
  <c r="R166" i="4"/>
  <c r="R165" i="4"/>
  <c r="R164" i="4"/>
  <c r="R163" i="4"/>
  <c r="R162" i="4"/>
  <c r="R161" i="4"/>
  <c r="R160" i="4"/>
  <c r="R159" i="4"/>
  <c r="R158" i="4"/>
  <c r="R157" i="4"/>
  <c r="R156" i="4"/>
  <c r="R155" i="4"/>
  <c r="R154" i="4"/>
  <c r="R153" i="4"/>
  <c r="R152" i="4"/>
  <c r="R151" i="4"/>
  <c r="R150" i="4"/>
  <c r="R149" i="4"/>
  <c r="R148" i="4"/>
  <c r="R147" i="4"/>
  <c r="R146" i="4"/>
  <c r="R145" i="4"/>
  <c r="R144" i="4"/>
  <c r="R143" i="4"/>
  <c r="R142" i="4"/>
  <c r="R141" i="4"/>
  <c r="R140" i="4"/>
  <c r="R139" i="4"/>
  <c r="R138" i="4"/>
  <c r="R137" i="4"/>
  <c r="R136" i="4"/>
  <c r="R135" i="4"/>
  <c r="R134" i="4"/>
  <c r="R133" i="4"/>
  <c r="R132" i="4"/>
  <c r="R131" i="4"/>
  <c r="R130" i="4"/>
  <c r="R129" i="4"/>
  <c r="R128" i="4"/>
  <c r="R127" i="4"/>
  <c r="R126" i="4"/>
  <c r="R125" i="4"/>
  <c r="R124" i="4"/>
  <c r="R123" i="4"/>
  <c r="R122" i="4"/>
  <c r="R121" i="4"/>
  <c r="R120" i="4"/>
  <c r="R119" i="4"/>
  <c r="R118" i="4"/>
  <c r="R117" i="4"/>
  <c r="R116" i="4"/>
  <c r="R115" i="4"/>
  <c r="R114" i="4"/>
  <c r="R113" i="4"/>
  <c r="R112" i="4"/>
  <c r="R111" i="4"/>
  <c r="R110" i="4"/>
  <c r="R109" i="4"/>
  <c r="R108" i="4"/>
  <c r="R107" i="4"/>
  <c r="R106" i="4"/>
  <c r="R105" i="4"/>
  <c r="R104" i="4"/>
  <c r="R103" i="4"/>
  <c r="R102" i="4"/>
  <c r="R101" i="4"/>
  <c r="R100" i="4"/>
  <c r="R99" i="4"/>
  <c r="R98" i="4"/>
  <c r="R97" i="4"/>
  <c r="R96" i="4"/>
  <c r="R95" i="4"/>
  <c r="R94" i="4"/>
  <c r="R93" i="4"/>
  <c r="R92" i="4"/>
  <c r="R91" i="4"/>
  <c r="R90" i="4"/>
  <c r="R89" i="4"/>
  <c r="R88" i="4"/>
  <c r="R87" i="4"/>
  <c r="R86" i="4"/>
  <c r="R85" i="4"/>
  <c r="R84" i="4"/>
  <c r="R83" i="4"/>
  <c r="R82" i="4"/>
  <c r="R81" i="4"/>
  <c r="R80" i="4"/>
  <c r="R79" i="4"/>
  <c r="R78" i="4"/>
  <c r="R77" i="4"/>
  <c r="R76" i="4"/>
  <c r="R75" i="4"/>
  <c r="R74" i="4"/>
  <c r="R73" i="4"/>
  <c r="R72" i="4"/>
  <c r="R71" i="4"/>
  <c r="R70" i="4"/>
  <c r="R69" i="4"/>
  <c r="R68" i="4"/>
  <c r="R67" i="4"/>
  <c r="R66" i="4"/>
  <c r="R65" i="4"/>
  <c r="R64" i="4"/>
  <c r="R63" i="4"/>
  <c r="R62" i="4"/>
  <c r="R61" i="4"/>
  <c r="R60" i="4"/>
  <c r="R59" i="4"/>
  <c r="R58" i="4"/>
  <c r="R57" i="4"/>
  <c r="R56" i="4"/>
  <c r="R55" i="4"/>
  <c r="R54" i="4"/>
  <c r="R53" i="4"/>
  <c r="R52" i="4"/>
  <c r="R51" i="4"/>
  <c r="R50" i="4"/>
  <c r="R49" i="4"/>
  <c r="R48" i="4"/>
  <c r="R47" i="4"/>
  <c r="R46" i="4"/>
  <c r="R45" i="4"/>
  <c r="R44" i="4"/>
  <c r="R43" i="4"/>
  <c r="R42" i="4"/>
  <c r="R41" i="4"/>
  <c r="R40" i="4"/>
  <c r="R39" i="4"/>
  <c r="R38" i="4"/>
  <c r="R37" i="4"/>
  <c r="R36" i="4"/>
  <c r="R35" i="4"/>
  <c r="R34" i="4"/>
  <c r="R33" i="4"/>
  <c r="R32" i="4"/>
  <c r="R31" i="4"/>
  <c r="R30" i="4"/>
  <c r="R29" i="4"/>
  <c r="R28" i="4"/>
  <c r="R27" i="4"/>
  <c r="R26" i="4"/>
  <c r="R25" i="4"/>
  <c r="R24" i="4"/>
  <c r="R23" i="4"/>
  <c r="R22" i="4"/>
  <c r="R21" i="4"/>
  <c r="R20" i="4"/>
  <c r="R19" i="4"/>
  <c r="R18" i="4"/>
  <c r="R17" i="4"/>
  <c r="R16" i="4"/>
  <c r="R15" i="4"/>
  <c r="R14" i="4"/>
  <c r="R13" i="4"/>
  <c r="R12" i="4"/>
  <c r="R11" i="4"/>
  <c r="R10" i="4"/>
  <c r="A521" i="4" l="1"/>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11" i="4"/>
  <c r="A12" i="4" s="1"/>
  <c r="A13" i="4" s="1"/>
  <c r="A14" i="4" s="1"/>
  <c r="A15" i="4" s="1"/>
  <c r="A16" i="4" l="1"/>
  <c r="A17" i="4" s="1"/>
  <c r="A18" i="4" s="1"/>
  <c r="A19" i="4" s="1"/>
  <c r="A20" i="4" s="1"/>
  <c r="A21" i="4" s="1"/>
  <c r="A22" i="4" s="1"/>
  <c r="A23" i="4" s="1"/>
  <c r="A24" i="4" s="1"/>
  <c r="A25" i="4" s="1"/>
  <c r="A26" i="4" s="1"/>
  <c r="A27" i="4" s="1"/>
  <c r="A28" i="4" s="1"/>
  <c r="A29" i="4" s="1"/>
  <c r="A30" i="4" s="1"/>
  <c r="A31" i="4" s="1"/>
  <c r="B1" i="5"/>
  <c r="C1" i="5" s="1"/>
  <c r="D1" i="5" s="1"/>
  <c r="E1" i="5" s="1"/>
  <c r="F1" i="5" s="1"/>
  <c r="G1" i="5" s="1"/>
  <c r="H1" i="5" s="1"/>
  <c r="I1" i="5" s="1"/>
  <c r="J1" i="5" s="1"/>
  <c r="K1" i="5" s="1"/>
  <c r="L1" i="5" s="1"/>
  <c r="M1" i="5" s="1"/>
  <c r="N1" i="5" s="1"/>
  <c r="O1" i="5" s="1"/>
  <c r="P1" i="5" s="1"/>
  <c r="Q1" i="5" s="1"/>
  <c r="R1" i="5" s="1"/>
  <c r="S1" i="5" s="1"/>
  <c r="T1" i="5" s="1"/>
  <c r="U1" i="5" s="1"/>
  <c r="V1" i="5" s="1"/>
  <c r="W1" i="5" s="1"/>
  <c r="X1" i="5" s="1"/>
  <c r="Y1" i="5" s="1"/>
  <c r="Z1" i="5" s="1"/>
  <c r="AA1" i="5" s="1"/>
  <c r="AB1" i="5" s="1"/>
  <c r="AC1" i="5" s="1"/>
  <c r="AD1" i="5" s="1"/>
  <c r="AE1" i="5" s="1"/>
  <c r="AF1" i="5" s="1"/>
  <c r="AG1" i="5" s="1"/>
  <c r="AH1" i="5" s="1"/>
  <c r="AI1" i="5" s="1"/>
  <c r="AJ1" i="5" s="1"/>
  <c r="AK1" i="5" s="1"/>
  <c r="AL1" i="5" s="1"/>
  <c r="AM1" i="5" s="1"/>
  <c r="AN1" i="5" s="1"/>
  <c r="AO1" i="5" s="1"/>
  <c r="AP1" i="5" s="1"/>
  <c r="AQ1" i="5" s="1"/>
  <c r="AR1" i="5" s="1"/>
  <c r="AS1" i="5" s="1"/>
  <c r="AT1" i="5" s="1"/>
  <c r="AU1" i="5" s="1"/>
  <c r="AV1" i="5" s="1"/>
  <c r="AW1" i="5" s="1"/>
  <c r="AX1" i="5" s="1"/>
  <c r="AY1" i="5" s="1"/>
  <c r="AZ1" i="5" s="1"/>
  <c r="BA1" i="5" s="1"/>
  <c r="BB1" i="5" s="1"/>
  <c r="BC1" i="5" s="1"/>
  <c r="BD1" i="5" s="1"/>
  <c r="BE1" i="5" s="1"/>
  <c r="D1" i="4" l="1"/>
  <c r="E1" i="4" s="1"/>
  <c r="F1" i="4" s="1"/>
  <c r="G1" i="4" s="1"/>
  <c r="H1" i="4" s="1"/>
  <c r="I1" i="4" s="1"/>
  <c r="J1" i="4" s="1"/>
  <c r="K1" i="4" s="1"/>
  <c r="L1" i="4" s="1"/>
  <c r="M1" i="4" s="1"/>
  <c r="N1" i="4" s="1"/>
  <c r="O1" i="4" s="1"/>
  <c r="P1" i="4" s="1"/>
  <c r="Q1" i="4" s="1"/>
  <c r="R1" i="4" s="1"/>
  <c r="S1" i="4" s="1"/>
  <c r="T1" i="4" s="1"/>
  <c r="U1" i="4" s="1"/>
  <c r="V1" i="4" s="1"/>
  <c r="W1" i="4" s="1"/>
  <c r="X1" i="4" s="1"/>
  <c r="Y1" i="4" s="1"/>
  <c r="Z1" i="4" s="1"/>
  <c r="AA1" i="4" s="1"/>
  <c r="AB1" i="4" s="1"/>
  <c r="AC1" i="4" s="1"/>
  <c r="AD1" i="4" s="1"/>
  <c r="AE1" i="4" s="1"/>
  <c r="AF1" i="4" s="1"/>
  <c r="AG1" i="4" s="1"/>
  <c r="AH1" i="4" s="1"/>
  <c r="AI1" i="4" s="1"/>
  <c r="AJ1" i="4" s="1"/>
  <c r="AK1" i="4" s="1"/>
  <c r="AL1" i="4" s="1"/>
  <c r="AM1" i="4" s="1"/>
  <c r="AN1" i="4" s="1"/>
  <c r="AO1" i="4" s="1"/>
  <c r="AP1" i="4" s="1"/>
  <c r="AQ1" i="4" s="1"/>
  <c r="AR1" i="4" s="1"/>
  <c r="AS1" i="4" s="1"/>
  <c r="B3" i="5" l="1"/>
  <c r="C3" i="5" s="1"/>
  <c r="D3" i="5" s="1"/>
  <c r="E3" i="5" s="1"/>
  <c r="F3" i="5" s="1"/>
  <c r="G3" i="5" s="1"/>
  <c r="H3" i="5" s="1"/>
  <c r="I3" i="5" s="1"/>
  <c r="J3" i="5" s="1"/>
  <c r="K3" i="5" s="1"/>
  <c r="L3" i="5" s="1"/>
  <c r="M3" i="5" s="1"/>
  <c r="N3" i="5" s="1"/>
  <c r="O3" i="5" s="1"/>
  <c r="P3" i="5" s="1"/>
  <c r="Q3" i="5" s="1"/>
  <c r="R3" i="5" s="1"/>
  <c r="S3" i="5" s="1"/>
  <c r="T3" i="5" s="1"/>
  <c r="U3" i="5" s="1"/>
  <c r="V3" i="5" s="1"/>
  <c r="W3" i="5" s="1"/>
  <c r="X3" i="5" s="1"/>
  <c r="Y3" i="5" s="1"/>
  <c r="Z3" i="5" s="1"/>
  <c r="AA3" i="5" s="1"/>
  <c r="AB3" i="5" s="1"/>
  <c r="AC3" i="5" s="1"/>
  <c r="AD3" i="5" s="1"/>
  <c r="AE3" i="5" s="1"/>
  <c r="AF3" i="5" s="1"/>
  <c r="AG3" i="5" s="1"/>
  <c r="AH3" i="5" s="1"/>
  <c r="AI3" i="5" s="1"/>
  <c r="AJ3" i="5" s="1"/>
  <c r="AK3" i="5" s="1"/>
  <c r="AL3" i="5" s="1"/>
  <c r="AM3" i="5" s="1"/>
  <c r="AN3" i="5" s="1"/>
  <c r="AO3" i="5" s="1"/>
  <c r="AP3" i="5" s="1"/>
  <c r="AQ3" i="5" s="1"/>
  <c r="AR3" i="5" s="1"/>
  <c r="AS3" i="5" s="1"/>
  <c r="AT3" i="5" s="1"/>
  <c r="AU3" i="5" s="1"/>
  <c r="AV3" i="5" s="1"/>
  <c r="AW3" i="5" s="1"/>
  <c r="AX3" i="5" s="1"/>
  <c r="A4" i="4" l="1"/>
  <c r="AS17" i="5" l="1"/>
  <c r="AS16" i="5"/>
  <c r="AS15" i="5"/>
  <c r="AS14" i="5"/>
  <c r="AS13" i="5"/>
  <c r="AS12" i="5"/>
  <c r="AS11" i="5"/>
  <c r="AS10" i="5"/>
  <c r="AS9" i="5"/>
  <c r="AS8" i="5"/>
  <c r="AS7" i="5"/>
  <c r="AS6" i="5"/>
  <c r="AO5" i="5"/>
  <c r="AI5" i="5"/>
  <c r="X5" i="5"/>
  <c r="Q5" i="5"/>
  <c r="F5" i="5"/>
  <c r="C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Ajeeth P.</author>
  </authors>
  <commentList>
    <comment ref="B4" authorId="0" shapeId="0" xr:uid="{5DCDF72F-735A-444C-80E1-8FEEE08062B2}">
      <text>
        <r>
          <rPr>
            <sz val="9"/>
            <color indexed="81"/>
            <rFont val="Tahoma"/>
            <family val="2"/>
          </rPr>
          <t>Note: If marked as Yes, please give Monthly pro-rated effort ONLY, Irrespective of period covered in this Data Capture Tool.</t>
        </r>
      </text>
    </comment>
  </commentList>
</comments>
</file>

<file path=xl/sharedStrings.xml><?xml version="1.0" encoding="utf-8"?>
<sst xmlns="http://schemas.openxmlformats.org/spreadsheetml/2006/main" count="998" uniqueCount="373">
  <si>
    <t>S.No</t>
  </si>
  <si>
    <t>Cluster</t>
  </si>
  <si>
    <t>Major Activity</t>
  </si>
  <si>
    <t>Sub Activity</t>
  </si>
  <si>
    <t>AD</t>
  </si>
  <si>
    <t>AMS</t>
  </si>
  <si>
    <t>Testing</t>
  </si>
  <si>
    <t>Management</t>
  </si>
  <si>
    <t>Count of Sub Activity</t>
  </si>
  <si>
    <t>Total</t>
  </si>
  <si>
    <t>Application Training/KT</t>
  </si>
  <si>
    <t>Work planning and allocation</t>
  </si>
  <si>
    <t>Test requirements gathering and analysis</t>
  </si>
  <si>
    <t>Test Case Preparation and Test data setup</t>
  </si>
  <si>
    <t>PROMT Project Code :</t>
  </si>
  <si>
    <t>Working on Other Projects?  Mention Codes:</t>
  </si>
  <si>
    <t>Service Line :</t>
  </si>
  <si>
    <t>Track Name :</t>
  </si>
  <si>
    <t>Type of Work :</t>
  </si>
  <si>
    <t>Name :</t>
  </si>
  <si>
    <t>Role :</t>
  </si>
  <si>
    <t>Select Activity Type</t>
  </si>
  <si>
    <t>Select Activity</t>
  </si>
  <si>
    <t>Remarks</t>
  </si>
  <si>
    <t>Date</t>
  </si>
  <si>
    <t>Start Time</t>
  </si>
  <si>
    <t>End Time</t>
  </si>
  <si>
    <t>Frequency</t>
  </si>
  <si>
    <t>Quarterly</t>
  </si>
  <si>
    <t>Bi-Weekly</t>
  </si>
  <si>
    <t>x</t>
  </si>
  <si>
    <t>Daily</t>
  </si>
  <si>
    <t>Monthly</t>
  </si>
  <si>
    <r>
      <t xml:space="preserve">Additional Tasks : </t>
    </r>
    <r>
      <rPr>
        <sz val="12"/>
        <color theme="1"/>
        <rFont val="Calibri"/>
        <family val="2"/>
        <scheme val="minor"/>
      </rPr>
      <t>(Not covered in Daily Tasks)</t>
    </r>
  </si>
  <si>
    <t>Monthly Hours</t>
  </si>
  <si>
    <t>Gather details on test scope; test requirements and test environment</t>
  </si>
  <si>
    <t>Identify various components that will be integrated and the interfaces</t>
  </si>
  <si>
    <t>Assess testability of requirements</t>
  </si>
  <si>
    <t>Assess feasibility of Combined Acceptance Testing (CAT)</t>
  </si>
  <si>
    <t>Prepare Requirements Traceability Matrix (RTM)</t>
  </si>
  <si>
    <t>Baseline Test requirements document</t>
  </si>
  <si>
    <t>Test strategizing and planning</t>
  </si>
  <si>
    <t>Identify the approach to meet client expectations and SLA(if any)</t>
  </si>
  <si>
    <t>Create strategies for test case design and preparation</t>
  </si>
  <si>
    <t>Identify and plan for various tools and reusable components to be used in the project</t>
  </si>
  <si>
    <t>Create high level test scenarios and identify test data needs</t>
  </si>
  <si>
    <t>Baseline Test strategy/ Test plan document</t>
  </si>
  <si>
    <t>Prepare test scripts for automated testing</t>
  </si>
  <si>
    <t>Setup test environment/ Create test data and host it on test environment</t>
  </si>
  <si>
    <t>Update RTM to ensure traceability (business requirements to test cases)</t>
  </si>
  <si>
    <t>Perform test readiness check using smoke test approach</t>
  </si>
  <si>
    <t>Test Execution</t>
  </si>
  <si>
    <t>Perform functionality testing as per test suite for various components/features in the scope</t>
  </si>
  <si>
    <t>Perform regression testing of application</t>
  </si>
  <si>
    <t>Track the usage of tools and reuse</t>
  </si>
  <si>
    <t>Perform/participate in causal analysis for the defects</t>
  </si>
  <si>
    <t>Project closure</t>
  </si>
  <si>
    <t xml:space="preserve">Collate client feedback </t>
  </si>
  <si>
    <t>Perform closure analysis/ Retrospective meeting &amp; document Lessons learnt</t>
  </si>
  <si>
    <t>Archive project and knowledge artifacts</t>
  </si>
  <si>
    <t>Invoicing</t>
  </si>
  <si>
    <t>Project Logistics</t>
  </si>
  <si>
    <t>Project code creation</t>
  </si>
  <si>
    <t>Resource planning and Recruitment</t>
  </si>
  <si>
    <t>Raise Demand/ follow-up with TPD</t>
  </si>
  <si>
    <t>Conduct interviews</t>
  </si>
  <si>
    <t>Plan for Trainings/ Induction/ KTs for new joinees</t>
  </si>
  <si>
    <t>Prepare Capacity plan</t>
  </si>
  <si>
    <t>Work Planning/ Work breakdown structure</t>
  </si>
  <si>
    <t>Work Allocation and Tracking</t>
  </si>
  <si>
    <t>Addressing Project related issues / clarifications</t>
  </si>
  <si>
    <t>Tracking Team skill matrix; identify gaps and plan for trainings</t>
  </si>
  <si>
    <t>Performance Feedback/ appraisals</t>
  </si>
  <si>
    <t>Client relationship activities</t>
  </si>
  <si>
    <t>New business opportunities</t>
  </si>
  <si>
    <t>Seeking ELF/ CSAT</t>
  </si>
  <si>
    <t>Documentation</t>
  </si>
  <si>
    <t>PM plan</t>
  </si>
  <si>
    <t>Improvement ideas/ BTN/ Case studies</t>
  </si>
  <si>
    <t>Quality reports and documents</t>
  </si>
  <si>
    <t>Change Managament documents</t>
  </si>
  <si>
    <t>Internal Meetings</t>
  </si>
  <si>
    <t>Daily standup calls with team/ onsite-offshore calls</t>
  </si>
  <si>
    <t xml:space="preserve">Team meetings </t>
  </si>
  <si>
    <t>Governance / review calls with senior mgmt</t>
  </si>
  <si>
    <t>Account or Unit level meetings/ workshops/ trainings/ Townhalls</t>
  </si>
  <si>
    <t>Client Meetings</t>
  </si>
  <si>
    <t>Daily Scrum/ standup calls</t>
  </si>
  <si>
    <t>Weekly/ Monthly Status calls (WSR/MSR review)</t>
  </si>
  <si>
    <t xml:space="preserve">Client Escalation call </t>
  </si>
  <si>
    <t>CAB meetings</t>
  </si>
  <si>
    <t>Reports Review</t>
  </si>
  <si>
    <t>Compliance tracking</t>
  </si>
  <si>
    <t>Audits &amp; Assessment</t>
  </si>
  <si>
    <t>Quality Audit</t>
  </si>
  <si>
    <t>BCMS Audit</t>
  </si>
  <si>
    <t>External/Client Audit</t>
  </si>
  <si>
    <t>Contract related activities</t>
  </si>
  <si>
    <t>Contract Renewal/ New proposals/ Reviews</t>
  </si>
  <si>
    <t>Risk Management</t>
  </si>
  <si>
    <t xml:space="preserve">Project Risk Calculation </t>
  </si>
  <si>
    <t xml:space="preserve">Account level BCMS </t>
  </si>
  <si>
    <t xml:space="preserve">Risk Documents </t>
  </si>
  <si>
    <t>Change management/ Deployment</t>
  </si>
  <si>
    <t>Architecture and High Level Design</t>
  </si>
  <si>
    <t>Monitoring activities</t>
  </si>
  <si>
    <t>Application / Batch Job monitoring</t>
  </si>
  <si>
    <t>System health checks</t>
  </si>
  <si>
    <t>Server upgrade/ migration/ patching/ decommissioning activities</t>
  </si>
  <si>
    <t>Certificate renewal/ installation</t>
  </si>
  <si>
    <t>User access revalidation (UAR) activities</t>
  </si>
  <si>
    <t xml:space="preserve">DR/ BCP planning and testing activities </t>
  </si>
  <si>
    <t>Update/ Review System Appreciation or Support documents periodically</t>
  </si>
  <si>
    <t>Raise Change in the system</t>
  </si>
  <si>
    <t>Prepare / Review Change artifacts</t>
  </si>
  <si>
    <t>Attend CAB meetings</t>
  </si>
  <si>
    <t>Deploy changes</t>
  </si>
  <si>
    <t>Post implementation verification (PIV)</t>
  </si>
  <si>
    <t>Plan and conduct KM sessions</t>
  </si>
  <si>
    <t>Service standard adherence tracking</t>
  </si>
  <si>
    <t>Periodic ideas generation meeting with the team</t>
  </si>
  <si>
    <t>Elicit detailed Requirements and Business Rules</t>
  </si>
  <si>
    <t>Review business requirements and business rules</t>
  </si>
  <si>
    <t>Analyze and Prioritize Requirements</t>
  </si>
  <si>
    <t>Prepare acceptance criteria</t>
  </si>
  <si>
    <t>Validate and obtain sign-offs of Requirement documentation</t>
  </si>
  <si>
    <t>Understand Architecture requirements and define logical architecture</t>
  </si>
  <si>
    <t>Identify reusable/open source components to be used</t>
  </si>
  <si>
    <t>Validate performance requirements</t>
  </si>
  <si>
    <t>Create functional design</t>
  </si>
  <si>
    <t>Verification and Validation of High level design</t>
  </si>
  <si>
    <t>Conduct walkthrough of requirements and HLD with Dev and Testing teams</t>
  </si>
  <si>
    <t>Design and Develop Reusable components and Skeleton programs</t>
  </si>
  <si>
    <t>Create program design</t>
  </si>
  <si>
    <t>Verify design quality using Design Robustness model</t>
  </si>
  <si>
    <t>Architecture Conformance</t>
  </si>
  <si>
    <t>Security Architecture and Design Review</t>
  </si>
  <si>
    <t>Verification and Validation of detailed design</t>
  </si>
  <si>
    <t>Prepare unit test plan and test cases</t>
  </si>
  <si>
    <t>Code Programs</t>
  </si>
  <si>
    <t>Conduct Code review</t>
  </si>
  <si>
    <t>Conduct code profiling</t>
  </si>
  <si>
    <t>Ensure that product quality metrics for code meet the goals</t>
  </si>
  <si>
    <t>Conduct independent unit test</t>
  </si>
  <si>
    <t>Verification and validation of build</t>
  </si>
  <si>
    <t>Perform a review with the client or customer</t>
  </si>
  <si>
    <t>Perform Integration Test</t>
  </si>
  <si>
    <t>Verification and Validation of Integration Test Results</t>
  </si>
  <si>
    <t>Perform system test(Functional Requirements)</t>
  </si>
  <si>
    <t>Perform Other applicable Non-functional requirements testing</t>
  </si>
  <si>
    <t>Verification and Validation of System Test Phase</t>
  </si>
  <si>
    <t>Plan Acceptance</t>
  </si>
  <si>
    <t>Verification and validation of defects</t>
  </si>
  <si>
    <t>Obtain Customer Sign Off</t>
  </si>
  <si>
    <t>Conduct Customer or User training</t>
  </si>
  <si>
    <t>Attend CAB meetings for change approval</t>
  </si>
  <si>
    <t>Assess Environment readiness</t>
  </si>
  <si>
    <t>Rollout Release Notes/Communication</t>
  </si>
  <si>
    <t>Perform deployment</t>
  </si>
  <si>
    <t>Plan post implementation activities</t>
  </si>
  <si>
    <t>Fix production problems</t>
  </si>
  <si>
    <t>Monitor production environment/ Provide warranty support</t>
  </si>
  <si>
    <t>Conduct post implementation review</t>
  </si>
  <si>
    <t>Track</t>
  </si>
  <si>
    <t>Select Major Activity</t>
  </si>
  <si>
    <t>Select Sub Activity</t>
  </si>
  <si>
    <t>Sub-Task</t>
  </si>
  <si>
    <t>u</t>
  </si>
  <si>
    <t>Weekly</t>
  </si>
  <si>
    <t>Fortnightly</t>
  </si>
  <si>
    <t>TAT</t>
  </si>
  <si>
    <t>FTEs</t>
  </si>
  <si>
    <t>B10</t>
  </si>
  <si>
    <t>$H$12</t>
  </si>
  <si>
    <r>
      <t xml:space="preserve">TAT
</t>
    </r>
    <r>
      <rPr>
        <u/>
        <sz val="11"/>
        <color theme="1"/>
        <rFont val="Calibri"/>
        <family val="2"/>
        <scheme val="minor"/>
      </rPr>
      <t>(Hours)</t>
    </r>
  </si>
  <si>
    <t>Time &amp; Motion Study</t>
  </si>
  <si>
    <t>Log of Activities</t>
  </si>
  <si>
    <t>Start             Stop</t>
  </si>
  <si>
    <t>Others</t>
  </si>
  <si>
    <t>Hours</t>
  </si>
  <si>
    <t>Sub-Activity</t>
  </si>
  <si>
    <t>Resource On-boarding / Off-boarding; ODC access</t>
  </si>
  <si>
    <t>Coaching &amp; Mentoring</t>
  </si>
  <si>
    <t>Periodic Reporting and Governance</t>
  </si>
  <si>
    <t>KPI/ SLA tracking</t>
  </si>
  <si>
    <t>Transfers &amp; Visa Related</t>
  </si>
  <si>
    <t>Ticket Creation/Assignment</t>
  </si>
  <si>
    <t>Ticket Initial Diagnosis</t>
  </si>
  <si>
    <t>Ticket Analysis and Resolution</t>
  </si>
  <si>
    <t>Problem Management / RCA</t>
  </si>
  <si>
    <t>Application Knowledge Transfer / Training / Transition</t>
  </si>
  <si>
    <t>Continuous improvements / Service improvements</t>
  </si>
  <si>
    <t xml:space="preserve">Elicit As-Is &amp; To-Be Processes </t>
  </si>
  <si>
    <t>Impact analysis/Design</t>
  </si>
  <si>
    <t>Integration/Regression/System testing</t>
  </si>
  <si>
    <t>Review activities</t>
  </si>
  <si>
    <t>X</t>
  </si>
  <si>
    <t>Ticket creation/ assignment</t>
  </si>
  <si>
    <t>ITSM queue monitoring</t>
  </si>
  <si>
    <t>Ticket initial analysis</t>
  </si>
  <si>
    <t>Ticket analysis</t>
  </si>
  <si>
    <t>Ticket resolution</t>
  </si>
  <si>
    <t>Ticket closure &amp; confirmation</t>
  </si>
  <si>
    <t>Reporting</t>
  </si>
  <si>
    <t>Root cause Investigation</t>
  </si>
  <si>
    <t>Tracking PBI/PKEs and reporting status</t>
  </si>
  <si>
    <t>Email alerts</t>
  </si>
  <si>
    <t>Guidance/ Mentoring to team</t>
  </si>
  <si>
    <t>Continuous improvement/Service improvement activities</t>
  </si>
  <si>
    <t>Requirement gathering analysis and documentation</t>
  </si>
  <si>
    <t>Assess feasibility of Continuous Automation(CA)</t>
  </si>
  <si>
    <t>Prepare test cases for manual testing</t>
  </si>
  <si>
    <t>Review Test requirements document</t>
  </si>
  <si>
    <t>Review Test strategy/ Test plan document</t>
  </si>
  <si>
    <t>Test case / Test script Review</t>
  </si>
  <si>
    <t>Review of any other deliverable</t>
  </si>
  <si>
    <t>Defect Creation/ Logging / Tracking</t>
  </si>
  <si>
    <t>Defect Triaging and tracking to closure</t>
  </si>
  <si>
    <t>Conduct project closure meeting</t>
  </si>
  <si>
    <t xml:space="preserve">KPI Metrics &amp; SLA Reporting  </t>
  </si>
  <si>
    <t xml:space="preserve">Invoice Report </t>
  </si>
  <si>
    <t>Governance reports</t>
  </si>
  <si>
    <t>Plan Code Release/Installation</t>
  </si>
  <si>
    <r>
      <t>Emp. No :</t>
    </r>
    <r>
      <rPr>
        <sz val="11"/>
        <color rgb="FFFF0000"/>
        <rFont val="Calibri"/>
        <family val="2"/>
        <scheme val="minor"/>
      </rPr>
      <t>*</t>
    </r>
  </si>
  <si>
    <r>
      <t>Job Level :</t>
    </r>
    <r>
      <rPr>
        <sz val="11"/>
        <color rgb="FFFF0000"/>
        <rFont val="Calibri"/>
        <family val="2"/>
        <scheme val="minor"/>
      </rPr>
      <t>*</t>
    </r>
  </si>
  <si>
    <r>
      <t>Track</t>
    </r>
    <r>
      <rPr>
        <b/>
        <u/>
        <sz val="11"/>
        <color rgb="FFFF0000"/>
        <rFont val="Calibri"/>
        <family val="2"/>
        <scheme val="minor"/>
      </rPr>
      <t>*</t>
    </r>
  </si>
  <si>
    <r>
      <t>Select Major Activity</t>
    </r>
    <r>
      <rPr>
        <b/>
        <u/>
        <sz val="11"/>
        <color rgb="FFFF0000"/>
        <rFont val="Calibri"/>
        <family val="2"/>
        <scheme val="minor"/>
      </rPr>
      <t>*</t>
    </r>
  </si>
  <si>
    <r>
      <t xml:space="preserve">Date </t>
    </r>
    <r>
      <rPr>
        <b/>
        <u/>
        <sz val="11"/>
        <color rgb="FFFF0000"/>
        <rFont val="Calibri"/>
        <family val="2"/>
        <scheme val="minor"/>
      </rPr>
      <t>*</t>
    </r>
  </si>
  <si>
    <t>About This Tool:</t>
  </si>
  <si>
    <t>Summary :</t>
  </si>
  <si>
    <t>Note: DO NOT insert/delete any Rows or columns to prevent Malfunction</t>
  </si>
  <si>
    <t>JL</t>
  </si>
  <si>
    <t>Emp No.</t>
  </si>
  <si>
    <t>elicitation</t>
  </si>
  <si>
    <t>Support activities - Patching/ Upgrades/ BCP/ Certificate renewals</t>
  </si>
  <si>
    <t>Guidance and Mentoring to lower JLs</t>
  </si>
  <si>
    <t>Defect creation</t>
  </si>
  <si>
    <t>Defect Triaging and Tracking</t>
  </si>
  <si>
    <t>Customer visit planning &amp; logistics</t>
  </si>
  <si>
    <t>Closure Report/ TSR</t>
  </si>
  <si>
    <t>Generic</t>
  </si>
  <si>
    <t>Client relationship activities / RFP</t>
  </si>
  <si>
    <t>Unit / Org Level Activities</t>
  </si>
  <si>
    <t>Ticketing tool updates/ dashboards</t>
  </si>
  <si>
    <t>Periodic connect with Client stakeholders/ client visit presentations</t>
  </si>
  <si>
    <t>Weekly/ Monthly status reports (WSR/MSR) for client reporting</t>
  </si>
  <si>
    <t>ALCON/ PBS/ OMS/ DPS</t>
  </si>
  <si>
    <t>Pre sales/ RFP/ Estimation activities for other projects/accounts</t>
  </si>
  <si>
    <t>Emails/ Calls/ Meetings (not related to project)</t>
  </si>
  <si>
    <t>AHM/ Initiatives/ Employee engagement</t>
  </si>
  <si>
    <t>Ticket system updates/ Report generation and Analysis</t>
  </si>
  <si>
    <t>Requirements planning/ elicitation/ analysis</t>
  </si>
  <si>
    <t>Manage requirement/ change advisory board meetings</t>
  </si>
  <si>
    <t>Deployment/ Post Implementation Warranty</t>
  </si>
  <si>
    <t>Administrative activities (Invoicing/ Logistics/ etc)</t>
  </si>
  <si>
    <t>People management/ Mentoring/ Performance review</t>
  </si>
  <si>
    <t>Training/ Knowledge sharing and Certifications (Outside Project)</t>
  </si>
  <si>
    <t>DC related Activities</t>
  </si>
  <si>
    <t>&lt;= Total FTEs</t>
  </si>
  <si>
    <r>
      <t xml:space="preserve">Logged *
</t>
    </r>
    <r>
      <rPr>
        <i/>
        <u/>
        <sz val="11"/>
        <color theme="1"/>
        <rFont val="Calibri"/>
        <family val="2"/>
        <scheme val="minor"/>
      </rPr>
      <t>(Phrs)</t>
    </r>
  </si>
  <si>
    <t>Emp.No.:*</t>
  </si>
  <si>
    <t>Job Level:*</t>
  </si>
  <si>
    <t>Track*</t>
  </si>
  <si>
    <t>Major Task*</t>
  </si>
  <si>
    <r>
      <rPr>
        <b/>
        <sz val="11"/>
        <color theme="1"/>
        <rFont val="Calibri"/>
        <family val="2"/>
        <scheme val="minor"/>
      </rPr>
      <t xml:space="preserve">STEP 1 : </t>
    </r>
    <r>
      <rPr>
        <sz val="11"/>
        <color theme="1"/>
        <rFont val="Calibri"/>
        <family val="2"/>
        <scheme val="minor"/>
      </rPr>
      <t>Enter Period in business days for which the summary represents</t>
    </r>
  </si>
  <si>
    <r>
      <rPr>
        <b/>
        <sz val="11"/>
        <color theme="1"/>
        <rFont val="Calibri"/>
        <family val="2"/>
        <scheme val="minor"/>
      </rPr>
      <t>STEP 2 :</t>
    </r>
    <r>
      <rPr>
        <sz val="11"/>
        <color theme="1"/>
        <rFont val="Calibri"/>
        <family val="2"/>
        <scheme val="minor"/>
      </rPr>
      <t xml:space="preserve">  Select Track, Major Activity &amp; Sub-Activity</t>
    </r>
  </si>
  <si>
    <t xml:space="preserve">This Tool Captures summary of Time spent in Phrs for each activity carried by you for a specified period of Time
</t>
  </si>
  <si>
    <t>Days for which Data Captured *:</t>
  </si>
  <si>
    <t>Expected Max Hours :</t>
  </si>
  <si>
    <r>
      <rPr>
        <b/>
        <sz val="11"/>
        <color theme="1"/>
        <rFont val="Calibri"/>
        <family val="2"/>
        <scheme val="minor"/>
      </rPr>
      <t xml:space="preserve">STEP 3: </t>
    </r>
    <r>
      <rPr>
        <sz val="11"/>
        <color theme="1"/>
        <rFont val="Calibri"/>
        <family val="2"/>
        <scheme val="minor"/>
      </rPr>
      <t xml:space="preserve"> Enter Person hours spent for each  row . If there are activities which are recurring in nature, please flag them as Recurring activity "Yes/No" and enter montly effort that would be spent.</t>
    </r>
  </si>
  <si>
    <t xml:space="preserve">Recurring Monthly Activity? </t>
  </si>
  <si>
    <r>
      <t>Tot. Hours Logged</t>
    </r>
    <r>
      <rPr>
        <i/>
        <sz val="12"/>
        <color theme="1"/>
        <rFont val="Calibri"/>
        <family val="2"/>
        <scheme val="minor"/>
      </rPr>
      <t xml:space="preserve"> (Non- Recurring)</t>
    </r>
    <r>
      <rPr>
        <sz val="12"/>
        <color theme="1"/>
        <rFont val="Calibri"/>
        <family val="2"/>
        <scheme val="minor"/>
      </rPr>
      <t xml:space="preserve"> :</t>
    </r>
  </si>
  <si>
    <t>5 , 11</t>
  </si>
  <si>
    <t>Agile</t>
  </si>
  <si>
    <t>Resource Onboarding &amp; infrastructure</t>
  </si>
  <si>
    <t>Configure tools/Analyze and Plan for engineering practices</t>
  </si>
  <si>
    <t>Form the team</t>
  </si>
  <si>
    <t>Develop prototype</t>
  </si>
  <si>
    <t>Perform high level estimation of user stories</t>
  </si>
  <si>
    <t>Create high level architecture and design</t>
  </si>
  <si>
    <t>Identify testing approaches and strategies</t>
  </si>
  <si>
    <t>Prepare release plan</t>
  </si>
  <si>
    <t>Pre-activities to sprint planning session</t>
  </si>
  <si>
    <t>Develop sprint backlog</t>
  </si>
  <si>
    <t>Create task breakdown and estimate tasks</t>
  </si>
  <si>
    <t>Perform detailed impact analysis for actual code changes</t>
  </si>
  <si>
    <t>Elaborate technical architecture and design or changes to it</t>
  </si>
  <si>
    <t>Create test cases and automation test scripts</t>
  </si>
  <si>
    <t>Code development</t>
  </si>
  <si>
    <t>Perform configuration management and integration</t>
  </si>
  <si>
    <t>Conduct integration testing</t>
  </si>
  <si>
    <t>Conduct regression test</t>
  </si>
  <si>
    <t>Regression testing</t>
  </si>
  <si>
    <t>Sprint review and Demo</t>
  </si>
  <si>
    <t>Product backlog grooming</t>
  </si>
  <si>
    <t>Sprint retrospective</t>
  </si>
  <si>
    <t>Conduct functional and non functional testing of the application for the release/ Log and fix the defects</t>
  </si>
  <si>
    <t>Conduct user acceptance testing of the application and Log and fix the defects in UAT</t>
  </si>
  <si>
    <t>Perform deployment activities as applicable to production environment</t>
  </si>
  <si>
    <t>Pre-initiation</t>
  </si>
  <si>
    <t>Initiation</t>
  </si>
  <si>
    <t>Sprint Planning</t>
  </si>
  <si>
    <t>Sprint Execution and Monitoring</t>
  </si>
  <si>
    <t>Sprint Retrospective</t>
  </si>
  <si>
    <t>Release Sprint</t>
  </si>
  <si>
    <t>DILO Observations:</t>
  </si>
  <si>
    <r>
      <rPr>
        <b/>
        <sz val="10"/>
        <color theme="1"/>
        <rFont val="Calibri"/>
        <family val="2"/>
        <scheme val="minor"/>
      </rPr>
      <t>PURPOSE :</t>
    </r>
    <r>
      <rPr>
        <sz val="11"/>
        <color theme="1"/>
        <rFont val="Calibri"/>
        <family val="2"/>
        <scheme val="minor"/>
      </rPr>
      <t xml:space="preserve">
To identify how team members and managers spend their day and which activities are non-value adding
To identify amount of context switching in the system 
To identify how team members and managers spend their day and which activities are non-value adding
To identify amount of context switching in the system </t>
    </r>
  </si>
  <si>
    <t>How to Use it?</t>
  </si>
  <si>
    <t>Interview at-least 20-30% of team members across the tenure and role (developer, tester etc.)</t>
  </si>
  <si>
    <t>Do one on one interviews to get independent perspective</t>
  </si>
  <si>
    <t xml:space="preserve">Ask specific questions around following topics </t>
  </si>
  <si>
    <r>
      <t>Describe a typical day in your life starting from the 1</t>
    </r>
    <r>
      <rPr>
        <vertAlign val="superscript"/>
        <sz val="11"/>
        <rFont val="Calibri"/>
        <family val="2"/>
        <scheme val="minor"/>
      </rPr>
      <t>st</t>
    </r>
    <r>
      <rPr>
        <sz val="11"/>
        <rFont val="Calibri"/>
        <family val="2"/>
        <scheme val="minor"/>
      </rPr>
      <t xml:space="preserve"> activity you do during the day</t>
    </r>
  </si>
  <si>
    <t>Go on describing each activity as their day passes</t>
  </si>
  <si>
    <t>Try to understand how team members and managers spent time across the day and if there are any major interruptions and incidental/waste activity</t>
  </si>
  <si>
    <t>Try to capture the order in which different activities are being done on an average day</t>
  </si>
  <si>
    <t>For every employee, please fill-up the observations tab</t>
  </si>
  <si>
    <t>Questions</t>
  </si>
  <si>
    <t>Observations</t>
  </si>
  <si>
    <t>How much uninterrupted time do we get at a stretch during a typical day?</t>
  </si>
  <si>
    <t xml:space="preserve">How many emails do you get and read during the day? </t>
  </si>
  <si>
    <t>How often you visit the ticketing tool in an hour?</t>
  </si>
  <si>
    <t>How many calls do you get in a day?</t>
  </si>
  <si>
    <t>Do you spend time monitoring jobs/alerts?</t>
  </si>
  <si>
    <t>Do you create some daily weekly reports?</t>
  </si>
  <si>
    <t>Do system slowness or any other infrastructure issue takes up your time? etc.</t>
  </si>
  <si>
    <t>How much time do you spend in meetings everyday (internal + external)</t>
  </si>
  <si>
    <t>Emp.No</t>
  </si>
  <si>
    <t>Job Level</t>
  </si>
  <si>
    <t>Code review &amp; Independent Unit testing</t>
  </si>
  <si>
    <t>User Acceptance Testing &amp; Support</t>
  </si>
  <si>
    <r>
      <t>PROMT</t>
    </r>
    <r>
      <rPr>
        <sz val="11"/>
        <color rgb="FFFF0000"/>
        <rFont val="Calibri"/>
        <family val="2"/>
        <scheme val="minor"/>
      </rPr>
      <t>/PROPEL</t>
    </r>
    <r>
      <rPr>
        <sz val="11"/>
        <color theme="1"/>
        <rFont val="Calibri"/>
        <family val="2"/>
        <scheme val="minor"/>
      </rPr>
      <t xml:space="preserve"> and other IS systems update</t>
    </r>
  </si>
  <si>
    <r>
      <t>Monthly PROMT</t>
    </r>
    <r>
      <rPr>
        <sz val="11"/>
        <color rgb="FFFF0000"/>
        <rFont val="Calibri"/>
        <family val="2"/>
        <scheme val="minor"/>
      </rPr>
      <t>/PROPEL</t>
    </r>
    <r>
      <rPr>
        <sz val="11"/>
        <color theme="1"/>
        <rFont val="Calibri"/>
        <family val="2"/>
        <scheme val="minor"/>
      </rPr>
      <t xml:space="preserve"> activities &amp; Status </t>
    </r>
  </si>
  <si>
    <t>Shift handover</t>
  </si>
  <si>
    <t>Shift hand over activities</t>
  </si>
  <si>
    <t>Tech. Meeting</t>
  </si>
  <si>
    <t>PROMT/PROPEL and other IS systems update</t>
  </si>
  <si>
    <t>Resource onboarding activities like application access/ network access etc.</t>
  </si>
  <si>
    <t>Application infrastructure onboarding/ installation/ trainings/ licenses approvals</t>
  </si>
  <si>
    <t>TM:Requirements planning/ elicitation/ analysis</t>
  </si>
  <si>
    <t>TM:Architecture and High Level Design</t>
  </si>
  <si>
    <t>TM:Impact analysis/Design</t>
  </si>
  <si>
    <t>TM:User Acceptance Testing &amp; Support</t>
  </si>
  <si>
    <t>TM:Deployment/ Post Implementation Warranty</t>
  </si>
  <si>
    <t>TM:Manage requirement/ change advisory board meetings</t>
  </si>
  <si>
    <t>TM:Test strategizing and planning</t>
  </si>
  <si>
    <t>TM:Defect Triaging and Tracking</t>
  </si>
  <si>
    <t>TM:Review activities</t>
  </si>
  <si>
    <t>TM:Test requirements gathering and analysis</t>
  </si>
  <si>
    <t>TM:Ticket Initial Diagnosis</t>
  </si>
  <si>
    <t>TM:Ticket Analysis and Resolution</t>
  </si>
  <si>
    <t>TM:Guidance and Mentoring to lower JLs</t>
  </si>
  <si>
    <t>TM:Problem Management / RCA</t>
  </si>
  <si>
    <t>TM:Application Knowledge Transfer / Training / Transition</t>
  </si>
  <si>
    <t>TM:Continuous improvements / Service improvements</t>
  </si>
  <si>
    <t>TM:Change management/ Deployment</t>
  </si>
  <si>
    <t>TM:Resource Onboarding &amp; infrastructure</t>
  </si>
  <si>
    <t>TM:Other Meetings</t>
  </si>
  <si>
    <t>Project Scoping/ Elicit the requirements and build product backlog</t>
  </si>
  <si>
    <t>Functional and non functional testing of the application for the release/Log and fix the defects</t>
  </si>
  <si>
    <t>Generic Instructions:</t>
  </si>
  <si>
    <t>One DILO file for one employee. Do not enter data for multiple employees in one file</t>
  </si>
  <si>
    <t>Capture the daily activities for each day in the same file. Do not create one file for each day</t>
  </si>
  <si>
    <t>Always use a fresh template and update the activities</t>
  </si>
  <si>
    <t>Do not rename any sheet names</t>
  </si>
  <si>
    <t>Do not delete any sheets</t>
  </si>
  <si>
    <t>Do not delete or insert rows, cols</t>
  </si>
  <si>
    <t>Choose the JL value from the drop down</t>
  </si>
  <si>
    <t>Always select the activities from the drop down. Do not enter any activity manually</t>
  </si>
  <si>
    <t>Relevant activities across tracks can be selected from the drop downs</t>
  </si>
  <si>
    <t>People</t>
  </si>
  <si>
    <t>Leverage platforms like EVINCO for quick onboarding and upgrading resource skill as per client requirements.</t>
  </si>
  <si>
    <t>JL5</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</si>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</sst>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mm;@"/>
    <numFmt numFmtId="165" formatCode="[h]:mm:ss;@"/>
    <numFmt numFmtId="166" formatCode="m/d/yyyy;@"/>
    <numFmt numFmtId="167" formatCode="0.0"/>
  </numFmts>
  <fonts count="37" x14ac:knownFonts="1">
    <font>
      <sz val="11"/>
      <color theme="1"/>
      <name val="Calibri"/>
      <family val="2"/>
      <scheme val="minor"/>
    </font>
    <font>
      <b/>
      <sz val="11"/>
      <color theme="1"/>
      <name val="Calibri"/>
      <family val="2"/>
      <scheme val="minor"/>
    </font>
    <font>
      <sz val="8"/>
      <color theme="1"/>
      <name val="Calibri"/>
      <family val="2"/>
      <scheme val="minor"/>
    </font>
    <font>
      <b/>
      <u/>
      <sz val="11"/>
      <color theme="1"/>
      <name val="Calibri"/>
      <family val="2"/>
      <scheme val="minor"/>
    </font>
    <font>
      <sz val="22"/>
      <color theme="1"/>
      <name val="Calibri"/>
      <family val="2"/>
      <scheme val="minor"/>
    </font>
    <font>
      <sz val="12"/>
      <color theme="1"/>
      <name val="Calibri"/>
      <family val="2"/>
      <scheme val="minor"/>
    </font>
    <font>
      <sz val="11"/>
      <color theme="0"/>
      <name val="Calibri"/>
      <family val="2"/>
      <scheme val="minor"/>
    </font>
    <font>
      <sz val="11"/>
      <color rgb="FF00B0F0"/>
      <name val="Wingdings 3"/>
      <family val="1"/>
      <charset val="2"/>
    </font>
    <font>
      <b/>
      <u/>
      <sz val="11"/>
      <color theme="0"/>
      <name val="Wingdings 3"/>
      <family val="1"/>
      <charset val="2"/>
    </font>
    <font>
      <b/>
      <u/>
      <sz val="11"/>
      <color theme="0"/>
      <name val="Calibri"/>
      <family val="2"/>
      <scheme val="minor"/>
    </font>
    <font>
      <sz val="18"/>
      <color theme="1"/>
      <name val="Calibri"/>
      <family val="2"/>
      <scheme val="minor"/>
    </font>
    <font>
      <sz val="11"/>
      <color theme="0"/>
      <name val="Wingdings 3"/>
      <family val="1"/>
      <charset val="2"/>
    </font>
    <font>
      <sz val="18"/>
      <color rgb="FF00B0F0"/>
      <name val="Wingdings 3"/>
      <family val="1"/>
      <charset val="2"/>
    </font>
    <font>
      <u/>
      <sz val="11"/>
      <color theme="1"/>
      <name val="Calibri"/>
      <family val="2"/>
      <scheme val="minor"/>
    </font>
    <font>
      <sz val="10"/>
      <color theme="1"/>
      <name val="Calibri"/>
      <family val="2"/>
      <scheme val="minor"/>
    </font>
    <font>
      <sz val="8"/>
      <color theme="0"/>
      <name val="Calibri"/>
      <family val="2"/>
      <scheme val="minor"/>
    </font>
    <font>
      <sz val="16"/>
      <color theme="0"/>
      <name val="Calibri"/>
      <family val="2"/>
      <scheme val="minor"/>
    </font>
    <font>
      <sz val="22"/>
      <color theme="0"/>
      <name val="Arial Rounded MT Bold"/>
      <family val="2"/>
    </font>
    <font>
      <i/>
      <u/>
      <sz val="11"/>
      <color theme="1"/>
      <name val="Calibri"/>
      <family val="2"/>
      <scheme val="minor"/>
    </font>
    <font>
      <sz val="11"/>
      <color rgb="FF000000"/>
      <name val="Calibri"/>
      <family val="2"/>
      <scheme val="minor"/>
    </font>
    <font>
      <sz val="14"/>
      <color theme="1"/>
      <name val="Calibri"/>
      <family val="2"/>
      <scheme val="minor"/>
    </font>
    <font>
      <sz val="11"/>
      <color rgb="FFFF0000"/>
      <name val="Calibri"/>
      <family val="2"/>
      <scheme val="minor"/>
    </font>
    <font>
      <b/>
      <u/>
      <sz val="11"/>
      <color rgb="FFFF0000"/>
      <name val="Calibri"/>
      <family val="2"/>
      <scheme val="minor"/>
    </font>
    <font>
      <b/>
      <sz val="11"/>
      <color rgb="FFFF0000"/>
      <name val="Calibri"/>
      <family val="2"/>
      <scheme val="minor"/>
    </font>
    <font>
      <b/>
      <sz val="14"/>
      <color theme="1"/>
      <name val="Calibri"/>
      <family val="2"/>
      <scheme val="minor"/>
    </font>
    <font>
      <sz val="11"/>
      <color theme="0" tint="-4.9989318521683403E-2"/>
      <name val="Calibri"/>
      <family val="2"/>
      <scheme val="minor"/>
    </font>
    <font>
      <b/>
      <sz val="18"/>
      <color theme="0" tint="-4.9989318521683403E-2"/>
      <name val="Calibri"/>
      <family val="2"/>
      <scheme val="minor"/>
    </font>
    <font>
      <sz val="9"/>
      <color theme="1"/>
      <name val="Calibri"/>
      <family val="2"/>
      <scheme val="minor"/>
    </font>
    <font>
      <sz val="10"/>
      <color rgb="FFFF0000"/>
      <name val="Calibri"/>
      <family val="2"/>
      <scheme val="minor"/>
    </font>
    <font>
      <i/>
      <sz val="12"/>
      <color theme="1"/>
      <name val="Calibri"/>
      <family val="2"/>
      <scheme val="minor"/>
    </font>
    <font>
      <sz val="9"/>
      <color indexed="81"/>
      <name val="Tahoma"/>
      <family val="2"/>
    </font>
    <font>
      <b/>
      <sz val="10"/>
      <color theme="1"/>
      <name val="Calibri"/>
      <family val="2"/>
      <scheme val="minor"/>
    </font>
    <font>
      <sz val="11"/>
      <name val="Calibri"/>
      <family val="2"/>
      <scheme val="minor"/>
    </font>
    <font>
      <vertAlign val="superscript"/>
      <sz val="11"/>
      <name val="Calibri"/>
      <family val="2"/>
      <scheme val="minor"/>
    </font>
    <font>
      <b/>
      <u/>
      <sz val="11"/>
      <name val="Arial"/>
      <family val="2"/>
    </font>
    <font>
      <b/>
      <sz val="11"/>
      <name val="Arial"/>
      <family val="2"/>
    </font>
    <font>
      <sz val="11"/>
      <name val="Arial"/>
      <family val="2"/>
    </font>
  </fonts>
  <fills count="14">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00B0F0"/>
        <bgColor indexed="64"/>
      </patternFill>
    </fill>
    <fill>
      <patternFill patternType="solid">
        <fgColor rgb="FFFFFFCC"/>
        <bgColor indexed="64"/>
      </patternFill>
    </fill>
    <fill>
      <patternFill patternType="solid">
        <fgColor theme="1"/>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7" tint="0.79998168889431442"/>
        <bgColor indexed="64"/>
      </patternFill>
    </fill>
  </fills>
  <borders count="1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auto="1"/>
      </left>
      <right/>
      <top/>
      <bottom style="dotted">
        <color auto="1"/>
      </bottom>
      <diagonal/>
    </border>
    <border>
      <left/>
      <right/>
      <top/>
      <bottom style="dotted">
        <color auto="1"/>
      </bottom>
      <diagonal/>
    </border>
    <border>
      <left/>
      <right style="medium">
        <color auto="1"/>
      </right>
      <top/>
      <bottom style="dotted">
        <color auto="1"/>
      </bottom>
      <diagonal/>
    </border>
    <border>
      <left style="hair">
        <color indexed="64"/>
      </left>
      <right/>
      <top/>
      <bottom style="medium">
        <color indexed="64"/>
      </bottom>
      <diagonal/>
    </border>
  </borders>
  <cellStyleXfs count="1">
    <xf numFmtId="0" fontId="0" fillId="0" borderId="0"/>
  </cellStyleXfs>
  <cellXfs count="188">
    <xf numFmtId="0" fontId="0" fillId="0" borderId="0" xfId="0"/>
    <xf numFmtId="0" fontId="1" fillId="0" borderId="0" xfId="0" applyFont="1"/>
    <xf numFmtId="0" fontId="0" fillId="0" borderId="0" xfId="0" applyAlignment="1">
      <alignment horizontal="center"/>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Alignment="1">
      <alignment horizontal="right"/>
    </xf>
    <xf numFmtId="0" fontId="0" fillId="2" borderId="0" xfId="0" applyFill="1"/>
    <xf numFmtId="0" fontId="0" fillId="0" borderId="5" xfId="0" applyBorder="1"/>
    <xf numFmtId="0" fontId="2" fillId="0" borderId="0" xfId="0" applyFont="1" applyAlignment="1">
      <alignment horizontal="right"/>
    </xf>
    <xf numFmtId="0" fontId="0" fillId="0" borderId="6" xfId="0" applyBorder="1"/>
    <xf numFmtId="0" fontId="0" fillId="0" borderId="7" xfId="0" applyBorder="1"/>
    <xf numFmtId="0" fontId="0" fillId="0" borderId="8" xfId="0" applyBorder="1"/>
    <xf numFmtId="0" fontId="0" fillId="3" borderId="0" xfId="0" applyFill="1"/>
    <xf numFmtId="0" fontId="4" fillId="3" borderId="0" xfId="0" applyFont="1" applyFill="1"/>
    <xf numFmtId="0" fontId="3" fillId="3" borderId="1" xfId="0" applyFont="1" applyFill="1" applyBorder="1" applyAlignment="1">
      <alignment vertical="center"/>
    </xf>
    <xf numFmtId="0" fontId="0" fillId="3" borderId="2" xfId="0" applyFill="1" applyBorder="1" applyAlignment="1">
      <alignment vertical="center"/>
    </xf>
    <xf numFmtId="0" fontId="3" fillId="3" borderId="2" xfId="0" applyFont="1" applyFill="1" applyBorder="1" applyAlignment="1">
      <alignment vertical="center"/>
    </xf>
    <xf numFmtId="0" fontId="0" fillId="3" borderId="3" xfId="0" applyFill="1" applyBorder="1" applyAlignment="1">
      <alignment vertical="center"/>
    </xf>
    <xf numFmtId="0" fontId="0" fillId="3" borderId="0" xfId="0" applyFill="1" applyAlignment="1">
      <alignment vertical="center"/>
    </xf>
    <xf numFmtId="0" fontId="0" fillId="3" borderId="10" xfId="0" applyFill="1" applyBorder="1" applyAlignment="1">
      <alignment vertical="center"/>
    </xf>
    <xf numFmtId="0" fontId="0" fillId="3" borderId="11" xfId="0" applyFill="1" applyBorder="1" applyAlignment="1">
      <alignment vertical="center"/>
    </xf>
    <xf numFmtId="164" fontId="0" fillId="3" borderId="10" xfId="0" applyNumberFormat="1" applyFill="1" applyBorder="1" applyAlignment="1">
      <alignment horizontal="center" vertical="center"/>
    </xf>
    <xf numFmtId="0" fontId="0" fillId="0" borderId="0" xfId="0" pivotButton="1"/>
    <xf numFmtId="0" fontId="9" fillId="3" borderId="4" xfId="0" applyFont="1" applyFill="1" applyBorder="1" applyAlignment="1">
      <alignment vertical="center"/>
    </xf>
    <xf numFmtId="0" fontId="6" fillId="3" borderId="0" xfId="0" applyFont="1" applyFill="1" applyBorder="1" applyAlignment="1">
      <alignment vertical="center"/>
    </xf>
    <xf numFmtId="0" fontId="6" fillId="3" borderId="4" xfId="0" applyFont="1" applyFill="1" applyBorder="1" applyAlignment="1">
      <alignment vertical="center"/>
    </xf>
    <xf numFmtId="0" fontId="6" fillId="3" borderId="0" xfId="0" applyFont="1" applyFill="1" applyAlignment="1">
      <alignment vertical="center"/>
    </xf>
    <xf numFmtId="0" fontId="6" fillId="3" borderId="0" xfId="0" applyFont="1" applyFill="1"/>
    <xf numFmtId="0" fontId="0" fillId="0" borderId="0" xfId="0" applyFont="1" applyAlignment="1" applyProtection="1">
      <alignment horizontal="center"/>
      <protection locked="0"/>
    </xf>
    <xf numFmtId="0" fontId="0" fillId="0" borderId="0" xfId="0" applyFont="1" applyProtection="1">
      <protection locked="0"/>
    </xf>
    <xf numFmtId="0" fontId="17" fillId="8" borderId="0" xfId="0" applyFont="1" applyFill="1" applyAlignment="1" applyProtection="1">
      <alignment horizontal="left" vertical="center"/>
      <protection locked="0"/>
    </xf>
    <xf numFmtId="0" fontId="11" fillId="8" borderId="0" xfId="0" applyFont="1" applyFill="1" applyProtection="1">
      <protection locked="0"/>
    </xf>
    <xf numFmtId="0" fontId="0" fillId="8" borderId="0" xfId="0" applyFill="1" applyProtection="1">
      <protection locked="0"/>
    </xf>
    <xf numFmtId="0" fontId="0" fillId="0" borderId="0" xfId="0" applyProtection="1">
      <protection locked="0"/>
    </xf>
    <xf numFmtId="0" fontId="3" fillId="0" borderId="1" xfId="0" applyFont="1" applyBorder="1" applyAlignment="1" applyProtection="1">
      <alignment horizontal="center"/>
      <protection locked="0"/>
    </xf>
    <xf numFmtId="0" fontId="8" fillId="0" borderId="2" xfId="0" applyFont="1" applyBorder="1" applyProtection="1">
      <protection locked="0"/>
    </xf>
    <xf numFmtId="0" fontId="3" fillId="0" borderId="2" xfId="0" applyFont="1" applyBorder="1" applyProtection="1">
      <protection locked="0"/>
    </xf>
    <xf numFmtId="0" fontId="3" fillId="0" borderId="2" xfId="0" applyFont="1" applyBorder="1" applyAlignment="1" applyProtection="1">
      <alignment horizontal="center"/>
      <protection locked="0"/>
    </xf>
    <xf numFmtId="14" fontId="3" fillId="0" borderId="2" xfId="0" applyNumberFormat="1" applyFont="1" applyBorder="1" applyProtection="1">
      <protection locked="0"/>
    </xf>
    <xf numFmtId="0" fontId="3" fillId="0" borderId="2" xfId="0" applyFont="1" applyBorder="1" applyAlignment="1" applyProtection="1">
      <alignment horizontal="center" wrapText="1"/>
      <protection locked="0"/>
    </xf>
    <xf numFmtId="0" fontId="0" fillId="0" borderId="3" xfId="0" applyBorder="1" applyProtection="1">
      <protection locked="0"/>
    </xf>
    <xf numFmtId="0" fontId="9" fillId="0" borderId="4" xfId="0" applyFont="1" applyBorder="1" applyAlignment="1" applyProtection="1">
      <alignment horizontal="center"/>
      <protection locked="0"/>
    </xf>
    <xf numFmtId="0" fontId="8" fillId="0" borderId="0" xfId="0" applyFont="1" applyBorder="1" applyProtection="1">
      <protection locked="0"/>
    </xf>
    <xf numFmtId="0" fontId="9" fillId="0" borderId="0" xfId="0" applyFont="1" applyBorder="1" applyProtection="1">
      <protection locked="0"/>
    </xf>
    <xf numFmtId="0" fontId="9" fillId="0" borderId="0" xfId="0" applyFont="1" applyBorder="1" applyAlignment="1" applyProtection="1">
      <alignment horizontal="left"/>
      <protection locked="0"/>
    </xf>
    <xf numFmtId="14" fontId="9" fillId="0" borderId="0" xfId="0" applyNumberFormat="1" applyFont="1" applyBorder="1" applyProtection="1">
      <protection locked="0"/>
    </xf>
    <xf numFmtId="0" fontId="9" fillId="0" borderId="0" xfId="0" applyFont="1" applyBorder="1" applyAlignment="1" applyProtection="1">
      <alignment horizontal="center" vertical="center" wrapText="1"/>
      <protection locked="0"/>
    </xf>
    <xf numFmtId="0" fontId="6" fillId="0" borderId="0" xfId="0" applyFont="1" applyBorder="1" applyProtection="1">
      <protection locked="0"/>
    </xf>
    <xf numFmtId="0" fontId="6" fillId="0" borderId="5" xfId="0" applyFont="1" applyBorder="1" applyProtection="1">
      <protection locked="0"/>
    </xf>
    <xf numFmtId="0" fontId="6" fillId="0" borderId="0" xfId="0" applyFont="1" applyProtection="1">
      <protection locked="0"/>
    </xf>
    <xf numFmtId="0" fontId="0" fillId="0" borderId="6" xfId="0" applyBorder="1" applyAlignment="1" applyProtection="1">
      <alignment horizontal="center" vertical="center"/>
      <protection locked="0"/>
    </xf>
    <xf numFmtId="0" fontId="12" fillId="0" borderId="7" xfId="0" applyFont="1" applyBorder="1" applyAlignment="1" applyProtection="1">
      <alignment horizontal="center" vertical="center"/>
      <protection locked="0"/>
    </xf>
    <xf numFmtId="0" fontId="5" fillId="9" borderId="7" xfId="0" applyFont="1" applyFill="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0" fillId="9" borderId="7" xfId="0" applyFont="1" applyFill="1" applyBorder="1" applyAlignment="1" applyProtection="1">
      <alignment horizontal="center" vertical="center" wrapText="1"/>
      <protection locked="0"/>
    </xf>
    <xf numFmtId="0" fontId="14" fillId="9" borderId="7" xfId="0" applyFont="1" applyFill="1" applyBorder="1" applyAlignment="1" applyProtection="1">
      <alignment horizontal="center" vertical="center" wrapText="1"/>
      <protection locked="0"/>
    </xf>
    <xf numFmtId="0" fontId="14" fillId="9" borderId="7" xfId="0" applyFont="1" applyFill="1" applyBorder="1" applyAlignment="1" applyProtection="1">
      <alignment horizontal="left" vertical="top" wrapText="1"/>
      <protection locked="0"/>
    </xf>
    <xf numFmtId="0" fontId="2" fillId="0" borderId="7" xfId="0" applyFont="1" applyBorder="1" applyAlignment="1" applyProtection="1">
      <alignment horizontal="center" vertical="center"/>
      <protection locked="0"/>
    </xf>
    <xf numFmtId="14" fontId="0" fillId="9" borderId="7" xfId="0" applyNumberFormat="1" applyFill="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21"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21" fontId="0" fillId="0" borderId="0" xfId="0" applyNumberFormat="1" applyFill="1" applyProtection="1">
      <protection locked="0"/>
    </xf>
    <xf numFmtId="0" fontId="0" fillId="0" borderId="0" xfId="0" applyFill="1" applyProtection="1">
      <protection locked="0"/>
    </xf>
    <xf numFmtId="0" fontId="8" fillId="0" borderId="0" xfId="0" applyFont="1" applyProtection="1">
      <protection locked="0"/>
    </xf>
    <xf numFmtId="0" fontId="9" fillId="0" borderId="0" xfId="0" applyFont="1" applyAlignment="1" applyProtection="1">
      <alignment horizontal="center"/>
      <protection locked="0"/>
    </xf>
    <xf numFmtId="0" fontId="9" fillId="0" borderId="0" xfId="0" applyFont="1" applyProtection="1">
      <protection locked="0"/>
    </xf>
    <xf numFmtId="0" fontId="9" fillId="0" borderId="0" xfId="0" applyFont="1" applyAlignment="1" applyProtection="1">
      <alignment horizontal="left"/>
      <protection locked="0"/>
    </xf>
    <xf numFmtId="14" fontId="9" fillId="0" borderId="0" xfId="0" applyNumberFormat="1" applyFont="1" applyProtection="1">
      <protection locked="0"/>
    </xf>
    <xf numFmtId="0" fontId="9" fillId="0" borderId="0" xfId="0" applyFont="1" applyAlignment="1" applyProtection="1">
      <alignment horizontal="center" wrapText="1"/>
      <protection locked="0"/>
    </xf>
    <xf numFmtId="0" fontId="9" fillId="0" borderId="0" xfId="0" applyFont="1" applyAlignment="1" applyProtection="1">
      <alignment horizontal="center" vertical="center" wrapText="1"/>
      <protection locked="0"/>
    </xf>
    <xf numFmtId="0" fontId="6" fillId="0" borderId="0" xfId="0" applyFont="1" applyFill="1" applyProtection="1">
      <protection locked="0"/>
    </xf>
    <xf numFmtId="0" fontId="0" fillId="0" borderId="0" xfId="0" applyAlignment="1" applyProtection="1">
      <alignment horizontal="center"/>
      <protection locked="0"/>
    </xf>
    <xf numFmtId="0" fontId="2" fillId="0" borderId="0" xfId="0" applyFont="1" applyAlignment="1" applyProtection="1">
      <alignment horizontal="left"/>
      <protection locked="0"/>
    </xf>
    <xf numFmtId="14" fontId="0" fillId="0" borderId="0" xfId="0" applyNumberFormat="1" applyAlignment="1" applyProtection="1">
      <alignment horizontal="center"/>
      <protection locked="0"/>
    </xf>
    <xf numFmtId="18" fontId="0" fillId="0" borderId="0" xfId="0" applyNumberFormat="1" applyFill="1" applyBorder="1" applyAlignment="1" applyProtection="1">
      <alignment horizontal="center" vertical="center"/>
      <protection locked="0"/>
    </xf>
    <xf numFmtId="18" fontId="0" fillId="4" borderId="7" xfId="0" applyNumberFormat="1" applyFill="1" applyBorder="1" applyAlignment="1" applyProtection="1">
      <alignment horizontal="center" vertical="center"/>
    </xf>
    <xf numFmtId="18" fontId="0" fillId="4" borderId="12" xfId="0" applyNumberFormat="1" applyFill="1" applyBorder="1" applyAlignment="1" applyProtection="1">
      <alignment horizontal="center" vertical="center"/>
    </xf>
    <xf numFmtId="167" fontId="0" fillId="5" borderId="0" xfId="0" applyNumberFormat="1" applyFill="1" applyAlignment="1" applyProtection="1">
      <alignment horizontal="center"/>
    </xf>
    <xf numFmtId="0" fontId="0" fillId="0" borderId="0" xfId="0" applyAlignment="1" applyProtection="1">
      <alignment horizontal="center"/>
    </xf>
    <xf numFmtId="0" fontId="7" fillId="0" borderId="0" xfId="0" applyFont="1" applyProtection="1"/>
    <xf numFmtId="0" fontId="2" fillId="0" borderId="0" xfId="0" applyFont="1" applyAlignment="1" applyProtection="1">
      <alignment horizontal="left"/>
    </xf>
    <xf numFmtId="0" fontId="0" fillId="0" borderId="0" xfId="0" applyProtection="1"/>
    <xf numFmtId="0" fontId="0" fillId="0" borderId="0" xfId="0" applyFill="1" applyAlignment="1" applyProtection="1">
      <alignment horizontal="center"/>
    </xf>
    <xf numFmtId="0" fontId="7" fillId="0" borderId="0" xfId="0" applyFont="1" applyFill="1" applyProtection="1"/>
    <xf numFmtId="0" fontId="2" fillId="0" borderId="0" xfId="0" applyFont="1" applyFill="1" applyAlignment="1" applyProtection="1">
      <alignment horizontal="left"/>
    </xf>
    <xf numFmtId="14" fontId="0" fillId="0" borderId="0" xfId="0" applyNumberFormat="1" applyFill="1" applyAlignment="1" applyProtection="1">
      <alignment horizontal="center"/>
    </xf>
    <xf numFmtId="21" fontId="0" fillId="0" borderId="0" xfId="0" applyNumberFormat="1" applyFill="1" applyProtection="1"/>
    <xf numFmtId="0" fontId="16" fillId="10" borderId="0" xfId="0" applyFont="1" applyFill="1" applyAlignment="1" applyProtection="1">
      <alignment horizontal="left"/>
    </xf>
    <xf numFmtId="0" fontId="11" fillId="10" borderId="0" xfId="0" applyFont="1" applyFill="1" applyProtection="1"/>
    <xf numFmtId="0" fontId="15" fillId="10" borderId="0" xfId="0" applyFont="1" applyFill="1" applyAlignment="1" applyProtection="1">
      <alignment horizontal="left"/>
    </xf>
    <xf numFmtId="14" fontId="6" fillId="10" borderId="0" xfId="0" applyNumberFormat="1" applyFont="1" applyFill="1" applyAlignment="1" applyProtection="1">
      <alignment horizontal="center"/>
    </xf>
    <xf numFmtId="21" fontId="6" fillId="10" borderId="0" xfId="0" applyNumberFormat="1" applyFont="1" applyFill="1" applyProtection="1"/>
    <xf numFmtId="0" fontId="3" fillId="0" borderId="0" xfId="0" applyFont="1" applyAlignment="1" applyProtection="1">
      <alignment horizontal="center"/>
    </xf>
    <xf numFmtId="0" fontId="8" fillId="0" borderId="0" xfId="0" applyFont="1" applyProtection="1"/>
    <xf numFmtId="0" fontId="3" fillId="0" borderId="0" xfId="0" applyFont="1" applyProtection="1"/>
    <xf numFmtId="0" fontId="3" fillId="0" borderId="0" xfId="0" applyFont="1" applyAlignment="1" applyProtection="1">
      <alignment horizontal="left"/>
    </xf>
    <xf numFmtId="14" fontId="3" fillId="0" borderId="0" xfId="0" applyNumberFormat="1" applyFont="1" applyProtection="1"/>
    <xf numFmtId="0" fontId="3" fillId="0" borderId="0" xfId="0" applyFont="1" applyAlignment="1" applyProtection="1">
      <alignment horizontal="center" wrapText="1"/>
    </xf>
    <xf numFmtId="0" fontId="3" fillId="0" borderId="0" xfId="0" applyFont="1" applyAlignment="1" applyProtection="1">
      <alignment horizontal="center" vertical="center" wrapText="1"/>
    </xf>
    <xf numFmtId="0" fontId="0" fillId="0" borderId="0" xfId="0" applyNumberFormat="1"/>
    <xf numFmtId="0" fontId="19" fillId="0" borderId="0" xfId="0" applyFont="1" applyAlignment="1">
      <alignment vertical="center" wrapText="1"/>
    </xf>
    <xf numFmtId="0" fontId="23" fillId="0" borderId="0" xfId="0" applyFont="1"/>
    <xf numFmtId="0" fontId="24" fillId="0" borderId="0" xfId="0" applyFont="1"/>
    <xf numFmtId="0" fontId="0" fillId="3" borderId="10" xfId="0" applyFill="1" applyBorder="1" applyAlignment="1">
      <alignment horizontal="left" vertical="center"/>
    </xf>
    <xf numFmtId="0" fontId="14" fillId="3" borderId="10" xfId="0" applyFont="1" applyFill="1" applyBorder="1" applyAlignment="1">
      <alignment vertical="center" wrapText="1"/>
    </xf>
    <xf numFmtId="0" fontId="2" fillId="3" borderId="10" xfId="0" applyFont="1" applyFill="1" applyBorder="1" applyAlignment="1">
      <alignment horizontal="left" vertical="center"/>
    </xf>
    <xf numFmtId="0" fontId="20" fillId="2" borderId="0" xfId="0" applyFont="1" applyFill="1" applyAlignment="1" applyProtection="1">
      <alignment horizontal="center"/>
      <protection locked="0"/>
    </xf>
    <xf numFmtId="0" fontId="20" fillId="2" borderId="3" xfId="0" applyFont="1" applyFill="1" applyBorder="1" applyAlignment="1" applyProtection="1">
      <alignment horizontal="center"/>
      <protection locked="0"/>
    </xf>
    <xf numFmtId="0" fontId="0" fillId="3" borderId="0" xfId="0" applyFill="1" applyAlignment="1" applyProtection="1">
      <alignment horizontal="center"/>
    </xf>
    <xf numFmtId="0" fontId="28" fillId="0" borderId="0" xfId="0" applyFont="1" applyAlignment="1" applyProtection="1">
      <alignment horizontal="left" wrapText="1"/>
    </xf>
    <xf numFmtId="0" fontId="5" fillId="0" borderId="1" xfId="0" applyFont="1" applyBorder="1" applyAlignment="1" applyProtection="1">
      <alignment horizontal="right"/>
    </xf>
    <xf numFmtId="0" fontId="20" fillId="0" borderId="0" xfId="0" applyFont="1" applyAlignment="1" applyProtection="1">
      <alignment horizontal="center"/>
    </xf>
    <xf numFmtId="0" fontId="28" fillId="0" borderId="0" xfId="0" applyFont="1" applyAlignment="1" applyProtection="1">
      <alignment horizontal="left"/>
    </xf>
    <xf numFmtId="0" fontId="6" fillId="3" borderId="0" xfId="0" applyFont="1" applyFill="1" applyAlignment="1" applyProtection="1">
      <alignment horizontal="center"/>
    </xf>
    <xf numFmtId="0" fontId="25" fillId="0" borderId="0" xfId="0" applyFont="1" applyAlignment="1" applyProtection="1">
      <alignment horizontal="center" vertical="center"/>
    </xf>
    <xf numFmtId="0" fontId="6" fillId="3" borderId="0" xfId="0" applyFont="1" applyFill="1" applyAlignment="1" applyProtection="1">
      <alignment horizontal="left"/>
    </xf>
    <xf numFmtId="0" fontId="6" fillId="0" borderId="0" xfId="0" applyFont="1" applyAlignment="1" applyProtection="1">
      <alignment horizontal="center"/>
    </xf>
    <xf numFmtId="165" fontId="6" fillId="0" borderId="0" xfId="0" applyNumberFormat="1" applyFont="1" applyAlignment="1" applyProtection="1">
      <alignment horizontal="center"/>
    </xf>
    <xf numFmtId="0" fontId="5" fillId="0" borderId="4" xfId="0" applyFont="1" applyBorder="1" applyAlignment="1" applyProtection="1">
      <alignment horizontal="right"/>
    </xf>
    <xf numFmtId="0" fontId="20" fillId="5" borderId="5" xfId="0" applyFont="1" applyFill="1" applyBorder="1" applyAlignment="1" applyProtection="1">
      <alignment horizontal="center"/>
    </xf>
    <xf numFmtId="0" fontId="26" fillId="0" borderId="0" xfId="0" applyFont="1" applyAlignment="1" applyProtection="1">
      <alignment horizontal="center" vertical="center"/>
    </xf>
    <xf numFmtId="0" fontId="1" fillId="0" borderId="0" xfId="0" quotePrefix="1" applyFont="1" applyAlignment="1" applyProtection="1">
      <alignment horizontal="right"/>
    </xf>
    <xf numFmtId="165" fontId="0" fillId="0" borderId="0" xfId="0" applyNumberFormat="1" applyProtection="1"/>
    <xf numFmtId="165" fontId="0" fillId="0" borderId="0" xfId="0" applyNumberFormat="1" applyAlignment="1" applyProtection="1">
      <alignment horizontal="center"/>
    </xf>
    <xf numFmtId="0" fontId="10" fillId="0" borderId="0" xfId="0" applyFont="1" applyAlignment="1" applyProtection="1">
      <alignment horizontal="left"/>
    </xf>
    <xf numFmtId="0" fontId="0" fillId="0" borderId="0" xfId="0" applyAlignment="1" applyProtection="1">
      <alignment horizontal="left"/>
    </xf>
    <xf numFmtId="0" fontId="20" fillId="0" borderId="0" xfId="0" applyFont="1" applyAlignment="1" applyProtection="1">
      <alignment horizontal="right" wrapText="1"/>
    </xf>
    <xf numFmtId="0" fontId="5" fillId="0" borderId="6" xfId="0" applyFont="1" applyBorder="1" applyAlignment="1" applyProtection="1">
      <alignment horizontal="right"/>
    </xf>
    <xf numFmtId="167" fontId="20" fillId="5" borderId="8" xfId="0" applyNumberFormat="1" applyFont="1" applyFill="1" applyBorder="1" applyAlignment="1" applyProtection="1">
      <alignment horizontal="center"/>
    </xf>
    <xf numFmtId="167" fontId="20" fillId="0" borderId="0" xfId="0" applyNumberFormat="1" applyFont="1" applyAlignment="1" applyProtection="1">
      <alignment horizontal="center"/>
    </xf>
    <xf numFmtId="2" fontId="0" fillId="11" borderId="0" xfId="0" applyNumberFormat="1" applyFill="1" applyAlignment="1" applyProtection="1">
      <alignment horizontal="center"/>
    </xf>
    <xf numFmtId="2" fontId="25" fillId="3" borderId="0" xfId="0" applyNumberFormat="1" applyFont="1" applyFill="1" applyAlignment="1" applyProtection="1">
      <alignment horizontal="left"/>
    </xf>
    <xf numFmtId="0" fontId="3" fillId="0" borderId="0" xfId="0" applyFont="1" applyAlignment="1" applyProtection="1">
      <alignment wrapText="1"/>
    </xf>
    <xf numFmtId="0" fontId="3" fillId="6" borderId="0" xfId="0" applyFont="1" applyFill="1" applyAlignment="1" applyProtection="1">
      <alignment horizontal="center" wrapText="1"/>
    </xf>
    <xf numFmtId="0" fontId="3" fillId="6" borderId="0" xfId="0" applyFont="1" applyFill="1" applyAlignment="1" applyProtection="1">
      <alignment horizontal="left" wrapText="1"/>
    </xf>
    <xf numFmtId="167" fontId="3" fillId="6" borderId="0" xfId="0" applyNumberFormat="1" applyFont="1" applyFill="1" applyAlignment="1" applyProtection="1">
      <alignment horizontal="center" wrapText="1"/>
    </xf>
    <xf numFmtId="167" fontId="3" fillId="0" borderId="0" xfId="0" applyNumberFormat="1" applyFont="1" applyAlignment="1" applyProtection="1">
      <alignment horizontal="center" wrapText="1"/>
    </xf>
    <xf numFmtId="0" fontId="25" fillId="0" borderId="0" xfId="0" applyFont="1" applyAlignment="1" applyProtection="1">
      <alignment horizontal="center" vertical="center" wrapText="1"/>
    </xf>
    <xf numFmtId="0" fontId="3" fillId="3" borderId="0" xfId="0" applyFont="1" applyFill="1" applyAlignment="1" applyProtection="1">
      <alignment horizontal="left" wrapText="1"/>
    </xf>
    <xf numFmtId="0" fontId="0" fillId="0" borderId="0" xfId="0" applyAlignment="1" applyProtection="1">
      <alignment horizontal="center" wrapText="1"/>
    </xf>
    <xf numFmtId="165" fontId="0" fillId="0" borderId="0" xfId="0" applyNumberFormat="1" applyAlignment="1" applyProtection="1">
      <alignment horizontal="center" wrapText="1"/>
    </xf>
    <xf numFmtId="167" fontId="0" fillId="0" borderId="0" xfId="0" applyNumberFormat="1" applyAlignment="1" applyProtection="1">
      <alignment horizontal="center" vertical="top" wrapText="1"/>
    </xf>
    <xf numFmtId="2" fontId="0" fillId="11" borderId="0" xfId="0" applyNumberFormat="1" applyFill="1" applyAlignment="1" applyProtection="1">
      <alignment horizontal="center" vertical="top" wrapText="1"/>
    </xf>
    <xf numFmtId="0" fontId="25" fillId="0" borderId="0" xfId="0" applyFont="1" applyAlignment="1" applyProtection="1">
      <alignment horizontal="left" vertical="top" wrapText="1"/>
    </xf>
    <xf numFmtId="2" fontId="21" fillId="3" borderId="0" xfId="0" applyNumberFormat="1" applyFont="1" applyFill="1" applyAlignment="1" applyProtection="1">
      <alignment horizontal="left" vertical="top" wrapText="1"/>
    </xf>
    <xf numFmtId="165" fontId="0" fillId="0" borderId="0" xfId="0" applyNumberFormat="1" applyAlignment="1" applyProtection="1">
      <alignment horizontal="left" vertical="top" wrapText="1"/>
    </xf>
    <xf numFmtId="166" fontId="0" fillId="3" borderId="0" xfId="0" applyNumberFormat="1" applyFill="1" applyAlignment="1" applyProtection="1">
      <alignment horizontal="center"/>
    </xf>
    <xf numFmtId="0" fontId="0" fillId="3" borderId="0" xfId="0" applyFill="1" applyAlignment="1" applyProtection="1">
      <alignment horizontal="center" vertical="top" wrapText="1"/>
      <protection locked="0"/>
    </xf>
    <xf numFmtId="0" fontId="0" fillId="7" borderId="0" xfId="0" applyFill="1" applyAlignment="1" applyProtection="1">
      <alignment horizontal="center" vertical="top" wrapText="1"/>
      <protection locked="0"/>
    </xf>
    <xf numFmtId="0" fontId="14" fillId="7" borderId="0" xfId="0" applyFont="1" applyFill="1" applyAlignment="1" applyProtection="1">
      <alignment horizontal="left" vertical="top" wrapText="1"/>
      <protection locked="0"/>
    </xf>
    <xf numFmtId="0" fontId="27" fillId="7" borderId="0" xfId="0" applyFont="1" applyFill="1" applyAlignment="1" applyProtection="1">
      <alignment horizontal="left" vertical="top" wrapText="1"/>
      <protection locked="0"/>
    </xf>
    <xf numFmtId="167" fontId="0" fillId="2" borderId="0" xfId="0" applyNumberFormat="1" applyFill="1" applyAlignment="1" applyProtection="1">
      <alignment horizontal="center" vertical="top" wrapText="1"/>
      <protection locked="0"/>
    </xf>
    <xf numFmtId="2" fontId="0" fillId="9" borderId="0" xfId="0" applyNumberFormat="1" applyFill="1" applyAlignment="1" applyProtection="1">
      <alignment horizontal="center" vertical="top" wrapText="1"/>
      <protection locked="0"/>
    </xf>
    <xf numFmtId="0" fontId="0" fillId="13" borderId="0" xfId="0" applyFill="1" applyAlignment="1">
      <alignment horizontal="left" vertical="top" wrapText="1"/>
    </xf>
    <xf numFmtId="0" fontId="0" fillId="0" borderId="0" xfId="0" applyAlignment="1">
      <alignment horizontal="left" vertical="top" wrapText="1"/>
    </xf>
    <xf numFmtId="0" fontId="1" fillId="13" borderId="0" xfId="0" applyFont="1" applyFill="1"/>
    <xf numFmtId="0" fontId="34" fillId="7" borderId="0" xfId="0" applyFont="1" applyFill="1" applyAlignment="1">
      <alignment vertical="center" readingOrder="1"/>
    </xf>
    <xf numFmtId="0" fontId="35" fillId="2" borderId="0" xfId="0" applyFont="1" applyFill="1" applyAlignment="1">
      <alignment horizontal="center" vertical="center" readingOrder="1"/>
    </xf>
    <xf numFmtId="0" fontId="36" fillId="0" borderId="0" xfId="0" applyFont="1" applyAlignment="1">
      <alignment vertical="center" readingOrder="1"/>
    </xf>
    <xf numFmtId="0" fontId="0" fillId="4" borderId="0" xfId="0" applyFill="1"/>
    <xf numFmtId="0" fontId="21" fillId="0" borderId="0" xfId="0" applyFont="1"/>
    <xf numFmtId="0" fontId="28" fillId="12" borderId="0" xfId="0" applyFont="1" applyFill="1"/>
    <xf numFmtId="0" fontId="32" fillId="3" borderId="0" xfId="0" applyFont="1" applyFill="1"/>
    <xf numFmtId="0" fontId="32" fillId="3" borderId="0" xfId="0" applyFont="1" applyFill="1" applyAlignment="1">
      <alignment vertical="center"/>
    </xf>
    <xf numFmtId="0" fontId="28" fillId="0" borderId="0" xfId="0" applyFont="1"/>
    <xf numFmtId="0" fontId="28" fillId="12" borderId="0" xfId="0" applyFont="1" applyFill="1" applyAlignment="1">
      <alignment vertical="center"/>
    </xf>
    <xf numFmtId="0" fontId="28" fillId="12" borderId="0" xfId="0" applyFont="1" applyFill="1" applyAlignment="1">
      <alignment vertical="top"/>
    </xf>
    <xf numFmtId="0" fontId="0" fillId="13" borderId="0" xfId="0" applyFill="1" applyAlignment="1">
      <alignment horizontal="left" vertical="top"/>
    </xf>
    <xf numFmtId="0" fontId="0" fillId="9" borderId="0" xfId="0" applyFill="1"/>
    <xf numFmtId="0" fontId="32" fillId="13" borderId="0" xfId="0" applyFont="1" applyFill="1" applyAlignment="1">
      <alignment horizontal="left" vertical="center" wrapText="1" readingOrder="1"/>
    </xf>
    <xf numFmtId="0" fontId="0" fillId="13" borderId="0" xfId="0" applyFill="1" applyAlignment="1">
      <alignment horizontal="left" vertical="top" wrapText="1"/>
    </xf>
    <xf numFmtId="0" fontId="0" fillId="13" borderId="0" xfId="0" applyFill="1" applyAlignment="1">
      <alignment horizontal="left" vertical="top"/>
    </xf>
    <xf numFmtId="0" fontId="0" fillId="2" borderId="0" xfId="0" applyFill="1" applyAlignment="1">
      <alignment horizontal="center"/>
    </xf>
    <xf numFmtId="0" fontId="0" fillId="2" borderId="0" xfId="0" applyFill="1" applyAlignment="1">
      <alignment horizontal="left"/>
    </xf>
    <xf numFmtId="0" fontId="1" fillId="0" borderId="2" xfId="0" applyFont="1" applyBorder="1" applyAlignment="1" applyProtection="1">
      <alignment horizontal="center" vertical="center" wrapText="1"/>
      <protection locked="0"/>
    </xf>
    <xf numFmtId="0" fontId="3" fillId="3" borderId="2"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10" xfId="0" applyFill="1" applyBorder="1" applyAlignment="1">
      <alignment horizontal="left" vertical="center"/>
    </xf>
    <xf numFmtId="0" fontId="14" fillId="3" borderId="10" xfId="0" applyFont="1" applyFill="1" applyBorder="1" applyAlignment="1">
      <alignment vertical="center" wrapText="1"/>
    </xf>
    <xf numFmtId="0" fontId="2" fillId="3" borderId="10" xfId="0" applyFont="1" applyFill="1" applyBorder="1" applyAlignment="1">
      <alignment horizontal="left" vertical="center"/>
    </xf>
    <xf numFmtId="167" fontId="0" fillId="3" borderId="10" xfId="0" applyNumberFormat="1" applyFill="1" applyBorder="1" applyAlignment="1">
      <alignment horizontal="center" vertical="center"/>
    </xf>
    <xf numFmtId="167" fontId="0" fillId="4" borderId="10" xfId="0" applyNumberFormat="1" applyFill="1" applyBorder="1" applyAlignment="1">
      <alignment horizontal="center" vertical="center"/>
    </xf>
  </cellXfs>
  <cellStyles count="1">
    <cellStyle name="Normal" xfId="0" builtinId="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104775</xdr:colOff>
          <xdr:row>2</xdr:row>
          <xdr:rowOff>219075</xdr:rowOff>
        </xdr:from>
        <xdr:to>
          <xdr:col>18</xdr:col>
          <xdr:colOff>28575</xdr:colOff>
          <xdr:row>4</xdr:row>
          <xdr:rowOff>419100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85725</xdr:colOff>
          <xdr:row>2</xdr:row>
          <xdr:rowOff>219075</xdr:rowOff>
        </xdr:from>
        <xdr:to>
          <xdr:col>18</xdr:col>
          <xdr:colOff>581025</xdr:colOff>
          <xdr:row>4</xdr:row>
          <xdr:rowOff>419100</xdr:rowOff>
        </xdr:to>
        <xdr:sp macro="" textlink="">
          <xdr:nvSpPr>
            <xdr:cNvPr id="2050" name="CommandButton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35</xdr:col>
      <xdr:colOff>0</xdr:colOff>
      <xdr:row>12</xdr:row>
      <xdr:rowOff>0</xdr:rowOff>
    </xdr:from>
    <xdr:ext cx="304800" cy="304800"/>
    <xdr:sp macro="" textlink="">
      <xdr:nvSpPr>
        <xdr:cNvPr id="2" name="AutoShape 2" descr="Stop Normal Red Icon | Play Stop Pause Iconset | Icons-Land">
          <a:extLst>
            <a:ext uri="{FF2B5EF4-FFF2-40B4-BE49-F238E27FC236}">
              <a16:creationId xmlns:a16="http://schemas.microsoft.com/office/drawing/2014/main" id="{00000000-0008-0000-0300-000002000000}"/>
            </a:ext>
          </a:extLst>
        </xdr:cNvPr>
        <xdr:cNvSpPr>
          <a:spLocks noChangeAspect="1" noChangeArrowheads="1"/>
        </xdr:cNvSpPr>
      </xdr:nvSpPr>
      <xdr:spPr bwMode="auto">
        <a:xfrm>
          <a:off x="6334125" y="2724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jeeth P." refreshedDate="44154.71248761574" createdVersion="6" refreshedVersion="6" minRefreshableVersion="3" recordCount="191" xr:uid="{6A155062-9179-486C-A089-41DADCC4E80B}">
  <cacheSource type="worksheet">
    <worksheetSource ref="A2:E554" sheet="Look-up"/>
  </cacheSource>
  <cacheFields count="5">
    <cacheField name="S.No" numFmtId="0">
      <sharedItems containsString="0" containsBlank="1" containsNumber="1" containsInteger="1" minValue="1" maxValue="190"/>
    </cacheField>
    <cacheField name="Cluster" numFmtId="0">
      <sharedItems containsBlank="1" count="8">
        <s v="AMS"/>
        <s v="AD"/>
        <s v="Testing"/>
        <s v="Management"/>
        <s v="Generic"/>
        <s v="Agile"/>
        <m/>
        <s v="Common" u="1"/>
      </sharedItems>
    </cacheField>
    <cacheField name="Major Activity" numFmtId="0">
      <sharedItems containsBlank="1" count="80">
        <s v="Ticket Creation/Assignment"/>
        <s v="Ticket Initial Diagnosis"/>
        <s v="Ticket Analysis and Resolution"/>
        <s v="Ticket system updates/ Report generation and Analysis"/>
        <s v="Problem Management / RCA"/>
        <s v="Monitoring activities"/>
        <s v="Support activities - Patching/ Upgrades/ BCP/ Certificate renewals"/>
        <s v="Change management/ Deployment"/>
        <s v="Guidance and Mentoring to lower JLs"/>
        <s v="Application Knowledge Transfer / Training / Transition"/>
        <s v="Continuous improvements / Service improvements"/>
        <s v="Others"/>
        <s v="Requirements planning/ elicitation/ analysis"/>
        <s v="Architecture and High Level Design"/>
        <s v="Impact analysis/Design"/>
        <s v="Code review &amp; Independent Unit testing/ Mentoring"/>
        <s v="Integration/Regression/System testing"/>
        <s v="Manage requirement/ change advisory board meetings"/>
        <s v="Acceptance &amp; Installation"/>
        <s v="Deployment/ Post Implementation Warranty"/>
        <s v="Test requirements gathering and analysis"/>
        <s v="Test strategizing and planning"/>
        <s v="Test Case Preparation and Test data setup"/>
        <s v="Test Execution"/>
        <s v="Review activities"/>
        <s v="Defect creation"/>
        <s v="Defect Triaging and Tracking"/>
        <s v="Administrative activities (Invoicing/ Logistics/ etc)"/>
        <s v="Resource On-boarding / Off-boarding; ODC access"/>
        <s v="Resource planning and Recruitment"/>
        <s v="Work planning and allocation"/>
        <s v="People management/ Mentoring/ Performance review"/>
        <s v="Customer visit planning &amp; logistics"/>
        <s v="Client relationship activities"/>
        <s v="Documentation"/>
        <s v="Internal Meetings"/>
        <s v="Client Meetings"/>
        <s v="KPI/ SLA tracking"/>
        <s v="Periodic Reporting and Governance"/>
        <s v="PROMT and other IS systems update"/>
        <s v="Audits &amp; Assessment"/>
        <s v="Contract related activities"/>
        <s v="Risk Management"/>
        <s v="Project closure"/>
        <s v="Client relationship activities / RFP"/>
        <s v="Training/ Knowledge sharing and Certifications (Outside Project)"/>
        <s v="Emails/ Calls/ Meetings (not related to project)"/>
        <s v="Unit / Org Level Activities"/>
        <s v="Pre-initiation"/>
        <s v="Initiation"/>
        <s v="Sprint Planning"/>
        <s v="Sprint Execution and Monitoring"/>
        <s v="Sprint Retrospective"/>
        <s v="Release Sprint"/>
        <m/>
        <s v="Requirements planning, elicitation, analysis" u="1"/>
        <s v="Guidance/ Mentoring to Lower JL's" u="1"/>
        <s v="Common" u="1"/>
        <s v="Non ticketing Support activities" u="1"/>
        <s v="Administative Activities" u="1"/>
        <s v="Defect Management" u="1"/>
        <s v="Knowledge management/ Mentoring" u="1"/>
        <s v="Post Implementation" u="1"/>
        <s v="Coding &amp; Unit testing" u="1"/>
        <s v="Integration and System Testing" u="1"/>
        <s v="PROMT and IS system updates " u="1"/>
        <s v="Deployment, Post Implementation Warranty" u="1"/>
        <s v="Reporting activities" u="1"/>
        <s v="Impact analysis/Design Activities" u="1"/>
        <s v="People management, Mentoring, Performance" u="1"/>
        <s v="People management/ Mentoring/ Performance" u="1"/>
        <s v="Ticket system updates, Report generation and Analysis" u="1"/>
        <s v="Mailbox" u="1"/>
        <s v="PROMT and other IS systems update_x000a_" u="1"/>
        <s v="Reporting and SLA/ KPI tracking" u="1"/>
        <s v="Customer visit/presentations" u="1"/>
        <s v="Service Management Activities" u="1"/>
        <s v=" Service Management/Tracking/Reporting" u="1"/>
        <s v="Ticketing activities " u="1"/>
        <s v="Build &amp; Unit Testing" u="1"/>
      </sharedItems>
    </cacheField>
    <cacheField name="Sub Activity" numFmtId="0">
      <sharedItems containsBlank="1"/>
    </cacheField>
    <cacheField name="X"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jeeth P." refreshedDate="44263.402297916669" createdVersion="6" refreshedVersion="6" minRefreshableVersion="3" recordCount="214" xr:uid="{16025A8B-DD14-4E58-AF9B-D38F362B6A97}">
  <cacheSource type="worksheet">
    <worksheetSource ref="A2:E500" sheet="Look-up"/>
  </cacheSource>
  <cacheFields count="5">
    <cacheField name="S.No" numFmtId="0">
      <sharedItems containsString="0" containsBlank="1" containsNumber="1" containsInteger="1" minValue="1" maxValue="212"/>
    </cacheField>
    <cacheField name="Cluster" numFmtId="0">
      <sharedItems containsBlank="1" count="9">
        <s v="AMS"/>
        <s v="AD"/>
        <s v="Testing"/>
        <s v="Management"/>
        <s v="Generic"/>
        <s v="Agile"/>
        <s v="Tech. Meeting"/>
        <m/>
        <s v="Common" u="1"/>
      </sharedItems>
    </cacheField>
    <cacheField name="Major Activity" numFmtId="0">
      <sharedItems containsBlank="1" count="133">
        <s v="Ticket Creation/Assignment"/>
        <s v="Ticket Initial Diagnosis"/>
        <s v="Ticket Analysis and Resolution"/>
        <s v="Ticket system updates/ Report generation and Analysis"/>
        <s v="Problem Management / RCA"/>
        <s v="Monitoring activities"/>
        <s v="Support activities - Patching/ Upgrades/ BCP/ Certificate renewals"/>
        <s v="Change management/ Deployment"/>
        <s v="Guidance and Mentoring to lower JLs"/>
        <s v="Application Knowledge Transfer / Training / Transition"/>
        <s v="Continuous improvements / Service improvements"/>
        <s v="Others"/>
        <s v="Requirements planning/ elicitation/ analysis"/>
        <s v="Architecture and High Level Design"/>
        <s v="Impact analysis/Design"/>
        <s v="Code review &amp; Independent Unit testing"/>
        <s v="Integration/Regression/System testing"/>
        <s v="Manage requirement/ change advisory board meetings"/>
        <s v="User Acceptance Testing &amp; Support"/>
        <s v="Deployment/ Post Implementation Warranty"/>
        <s v="Test requirements gathering and analysis"/>
        <s v="Test strategizing and planning"/>
        <s v="Test Case Preparation and Test data setup"/>
        <s v="Test Execution"/>
        <s v="Review activities"/>
        <s v="Defect creation"/>
        <s v="Defect Triaging and Tracking"/>
        <s v="Administrative activities (Invoicing/ Logistics/ etc)"/>
        <s v="Resource On-boarding / Off-boarding; ODC access"/>
        <s v="Resource planning and Recruitment"/>
        <s v="Work planning and allocation"/>
        <s v="People management/ Mentoring/ Performance review"/>
        <s v="Customer visit planning &amp; logistics"/>
        <s v="Client relationship activities"/>
        <s v="Documentation"/>
        <s v="Internal Meetings"/>
        <s v="Client Meetings"/>
        <s v="KPI/ SLA tracking"/>
        <s v="Periodic Reporting and Governance"/>
        <s v="PROMT/PROPEL and other IS systems update"/>
        <s v="Audits &amp; Assessment"/>
        <s v="Contract related activities"/>
        <s v="Risk Management"/>
        <s v="Project closure"/>
        <s v="Client relationship activities / RFP"/>
        <s v="Training/ Knowledge sharing and Certifications (Outside Project)"/>
        <s v="Emails/ Calls/ Meetings (not related to project)"/>
        <s v="Unit / Org Level Activities"/>
        <s v="People"/>
        <s v="Pre-initiation"/>
        <s v="Initiation"/>
        <s v="Sprint Planning"/>
        <s v="Sprint Execution and Monitoring"/>
        <s v="Sprint Retrospective"/>
        <s v="Release Sprint"/>
        <s v="Shift handover"/>
        <s v="Resource Onboarding &amp; infrastructure"/>
        <s v="TM:Requirements planning/ elicitation/ analysis"/>
        <s v="TM:Architecture and High Level Design"/>
        <s v="TM:Impact analysis/Design"/>
        <s v="TM:User Acceptance Testing &amp; Support"/>
        <s v="TM:Deployment/ Post Implementation Warranty"/>
        <s v="TM:Manage requirement/ change advisory board meetings"/>
        <s v="TM:Test strategizing and planning"/>
        <s v="TM:Defect Triaging and Tracking"/>
        <s v="TM:Review activities"/>
        <s v="TM:Test requirements gathering and analysis"/>
        <s v="TM:Ticket Initial Diagnosis"/>
        <s v="TM:Ticket Analysis and Resolution"/>
        <s v="TM:Guidance and Mentoring to lower JLs"/>
        <s v="TM:Problem Management / RCA"/>
        <s v="TM:Application Knowledge Transfer / Training / Transition"/>
        <s v="TM:Continuous improvements / Service improvements"/>
        <s v="TM:Change management/ Deployment"/>
        <s v="TM:Resource Onboarding &amp; infrastructure"/>
        <s v="TM:Other Meetings"/>
        <m/>
        <s v="Requirements planning, elicitation, analysis" u="1"/>
        <s v="Code review &amp; Independent Unit testing/ Mentoring" u="1"/>
        <s v="Sprint Execution and Monitoring: Create test cases and automation test scripts" u="1"/>
        <s v="Pre-initiation: Resource Onboarding &amp; infrastructure" u="1"/>
        <s v="Guidance/ Mentoring to Lower JL's" u="1"/>
        <s v="Common" u="1"/>
        <s v="Release Sprint: Conduct user acceptance testing of the application and Log and fix the defects in UAT" u="1"/>
        <s v="Sprint Retrospective: Sprint retrospective" u="1"/>
        <s v="Sprint Planning: Develop sprint backlog" u="1"/>
        <s v="Initiation: Perform high level estimation of user stories" u="1"/>
        <s v="Initiation: Create high level architecture and design" u="1"/>
        <s v="Initiation: Prepare release plan" u="1"/>
        <s v="PROMT and other IS systems update" u="1"/>
        <s v="Non ticketing Support activities" u="1"/>
        <s v="Administative Activities" u="1"/>
        <s v="Acceptance &amp; Installation" u="1"/>
        <s v="Initiation: Form the team" u="1"/>
        <s v="Sprint Execution and Monitoring: Elaborate technical architecture and design or changes to it" u="1"/>
        <s v="Defect Management" u="1"/>
        <s v="Sprint Execution and Monitoring: Conduct integration testing" u="1"/>
        <s v="Knowledge management/ Mentoring" u="1"/>
        <s v="Sprint Execution and Monitoring: Product backlog grooming" u="1"/>
        <s v="Release Sprint: Conduct functional and non functional testing of the application for the release/ Log and fix the defects" u="1"/>
        <s v="Pre-initiation: Project Scoping/ Elicit the requirements and build product backlog" u="1"/>
        <s v="Post Implementation" u="1"/>
        <s v="Release Sprint: Functional and non functional testing of the application for the release/ Log and fix the defects" u="1"/>
        <s v="Sprint Execution and Monitoring: Perform detailed impact analysis for actual code changes" u="1"/>
        <s v="Sprint Execution and Monitoring: Perform configuration management and integration" u="1"/>
        <s v="Release Sprint: Perform deployment activities as applicable to production environment" u="1"/>
        <s v="Coding &amp; Unit testing" u="1"/>
        <s v="Integration and System Testing" u="1"/>
        <s v="PROMT and IS system updates " u="1"/>
        <s v="Deployment, Post Implementation Warranty" u="1"/>
        <s v="Reporting activities" u="1"/>
        <s v="Sprint Execution and Monitoring: Sprint review and Demo" u="1"/>
        <s v="Impact analysis/Design Activities" u="1"/>
        <s v="People management, Mentoring, Performance" u="1"/>
        <s v="People management/ Mentoring/ Performance" u="1"/>
        <s v="Initiation: Develop prototype" u="1"/>
        <s v="Sprint Planning: Pre-activities to sprint planning session" u="1"/>
        <s v="Initiation: Identify testing approaches and strategies" u="1"/>
        <s v="Sprint Execution and Monitoring: Regression testing" u="1"/>
        <s v="Ticket system updates, Report generation and Analysis" u="1"/>
        <s v="Other Meetings" u="1"/>
        <s v="Mailbox" u="1"/>
        <s v="PROMT and other IS systems update_x000a_" u="1"/>
        <s v="Reporting and SLA/ KPI tracking" u="1"/>
        <s v="Sprint Execution and Monitoring: Code development" u="1"/>
        <s v="Pre-initiation: Configure tools/Analyze and Plan for engineering practices" u="1"/>
        <s v="Customer visit/presentations" u="1"/>
        <s v="Service Management Activities" u="1"/>
        <s v=" Service Management/Tracking/Reporting" u="1"/>
        <s v="Sprint Execution and Monitoring: Conduct regression test" u="1"/>
        <s v="Ticketing activities " u="1"/>
        <s v="Build &amp; Unit Testing" u="1"/>
        <s v="Sprint Planning: Create task breakdown and estimate tasks" u="1"/>
      </sharedItems>
    </cacheField>
    <cacheField name="Sub Activity" numFmtId="0">
      <sharedItems containsBlank="1"/>
    </cacheField>
    <cacheField name="X"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1">
  <r>
    <n v="1"/>
    <x v="0"/>
    <x v="0"/>
    <s v="Ticket creation/ assignment"/>
    <m/>
  </r>
  <r>
    <n v="2"/>
    <x v="0"/>
    <x v="0"/>
    <s v="ITSM queue monitoring"/>
    <m/>
  </r>
  <r>
    <n v="3"/>
    <x v="0"/>
    <x v="1"/>
    <s v="Ticket initial analysis"/>
    <m/>
  </r>
  <r>
    <n v="4"/>
    <x v="0"/>
    <x v="2"/>
    <s v="Ticket analysis"/>
    <m/>
  </r>
  <r>
    <n v="5"/>
    <x v="0"/>
    <x v="2"/>
    <s v="Ticket resolution"/>
    <m/>
  </r>
  <r>
    <n v="6"/>
    <x v="0"/>
    <x v="3"/>
    <s v="Ticketing tool updates/ dashboards"/>
    <m/>
  </r>
  <r>
    <n v="7"/>
    <x v="0"/>
    <x v="3"/>
    <s v="Ticket closure &amp; confirmation"/>
    <m/>
  </r>
  <r>
    <n v="8"/>
    <x v="0"/>
    <x v="3"/>
    <s v="Reporting"/>
    <m/>
  </r>
  <r>
    <n v="9"/>
    <x v="0"/>
    <x v="4"/>
    <s v="Root cause Investigation"/>
    <m/>
  </r>
  <r>
    <n v="10"/>
    <x v="0"/>
    <x v="4"/>
    <s v="Tracking PBI/PKEs and reporting status"/>
    <m/>
  </r>
  <r>
    <n v="11"/>
    <x v="0"/>
    <x v="5"/>
    <s v="Application / Batch Job monitoring"/>
    <m/>
  </r>
  <r>
    <n v="12"/>
    <x v="0"/>
    <x v="5"/>
    <s v="Email alerts"/>
    <m/>
  </r>
  <r>
    <n v="13"/>
    <x v="0"/>
    <x v="5"/>
    <s v="System health checks"/>
    <m/>
  </r>
  <r>
    <n v="14"/>
    <x v="0"/>
    <x v="6"/>
    <s v="Server upgrade/ migration/ patching/ decommissioning activities"/>
    <m/>
  </r>
  <r>
    <n v="15"/>
    <x v="0"/>
    <x v="6"/>
    <s v="Certificate renewal/ installation"/>
    <m/>
  </r>
  <r>
    <n v="16"/>
    <x v="0"/>
    <x v="6"/>
    <s v="User access revalidation (UAR) activities"/>
    <m/>
  </r>
  <r>
    <n v="17"/>
    <x v="0"/>
    <x v="6"/>
    <s v="DR/ BCP planning and testing activities "/>
    <m/>
  </r>
  <r>
    <n v="18"/>
    <x v="0"/>
    <x v="6"/>
    <s v="Update/ Review System Appreciation or Support documents periodically"/>
    <m/>
  </r>
  <r>
    <n v="19"/>
    <x v="0"/>
    <x v="7"/>
    <s v="Raise Change in the system"/>
    <m/>
  </r>
  <r>
    <n v="20"/>
    <x v="0"/>
    <x v="7"/>
    <s v="Prepare / Review Change artifacts"/>
    <m/>
  </r>
  <r>
    <n v="21"/>
    <x v="0"/>
    <x v="7"/>
    <s v="Attend CAB meetings"/>
    <m/>
  </r>
  <r>
    <n v="22"/>
    <x v="0"/>
    <x v="7"/>
    <s v="Deploy changes"/>
    <m/>
  </r>
  <r>
    <n v="23"/>
    <x v="0"/>
    <x v="7"/>
    <s v="Post implementation verification (PIV)"/>
    <m/>
  </r>
  <r>
    <n v="24"/>
    <x v="0"/>
    <x v="8"/>
    <s v="Guidance/ Mentoring to team"/>
    <m/>
  </r>
  <r>
    <n v="25"/>
    <x v="0"/>
    <x v="8"/>
    <s v="Plan and conduct KM sessions"/>
    <m/>
  </r>
  <r>
    <n v="26"/>
    <x v="0"/>
    <x v="9"/>
    <s v="Application Training/KT"/>
    <m/>
  </r>
  <r>
    <n v="27"/>
    <x v="0"/>
    <x v="10"/>
    <s v="Continuous improvement/Service improvement activities"/>
    <m/>
  </r>
  <r>
    <n v="28"/>
    <x v="0"/>
    <x v="10"/>
    <s v="Periodic ideas generation meeting with the team"/>
    <m/>
  </r>
  <r>
    <n v="29"/>
    <x v="0"/>
    <x v="11"/>
    <m/>
    <m/>
  </r>
  <r>
    <n v="30"/>
    <x v="1"/>
    <x v="12"/>
    <s v="Requirement gathering analysis and documentation"/>
    <m/>
  </r>
  <r>
    <n v="31"/>
    <x v="1"/>
    <x v="12"/>
    <s v="Elicit As-Is &amp; To-Be Processes "/>
    <m/>
  </r>
  <r>
    <n v="32"/>
    <x v="1"/>
    <x v="12"/>
    <s v="Elicit detailed Requirements and Business Rules"/>
    <m/>
  </r>
  <r>
    <n v="33"/>
    <x v="1"/>
    <x v="12"/>
    <s v="Review business requirements and business rules"/>
    <m/>
  </r>
  <r>
    <n v="34"/>
    <x v="1"/>
    <x v="12"/>
    <s v="Analyze and Prioritize Requirements"/>
    <m/>
  </r>
  <r>
    <n v="35"/>
    <x v="1"/>
    <x v="12"/>
    <s v="Prepare acceptance criteria"/>
    <m/>
  </r>
  <r>
    <n v="36"/>
    <x v="1"/>
    <x v="12"/>
    <s v="Validate and obtain sign-offs of Requirement documentation"/>
    <m/>
  </r>
  <r>
    <n v="37"/>
    <x v="1"/>
    <x v="13"/>
    <s v="Understand Architecture requirements and define logical architecture"/>
    <m/>
  </r>
  <r>
    <n v="38"/>
    <x v="1"/>
    <x v="13"/>
    <s v="Identify reusable/open source components to be used"/>
    <m/>
  </r>
  <r>
    <n v="39"/>
    <x v="1"/>
    <x v="13"/>
    <s v="Validate performance requirements"/>
    <m/>
  </r>
  <r>
    <n v="40"/>
    <x v="1"/>
    <x v="13"/>
    <s v="Create functional design"/>
    <m/>
  </r>
  <r>
    <n v="41"/>
    <x v="1"/>
    <x v="13"/>
    <s v="Verification and Validation of High level design"/>
    <m/>
  </r>
  <r>
    <n v="42"/>
    <x v="1"/>
    <x v="13"/>
    <s v="Conduct walkthrough of requirements and HLD with Dev and Testing teams"/>
    <m/>
  </r>
  <r>
    <n v="43"/>
    <x v="1"/>
    <x v="14"/>
    <s v="Design and Develop Reusable components and Skeleton programs"/>
    <m/>
  </r>
  <r>
    <n v="44"/>
    <x v="1"/>
    <x v="14"/>
    <s v="Create program design"/>
    <m/>
  </r>
  <r>
    <n v="45"/>
    <x v="1"/>
    <x v="14"/>
    <s v="Verify design quality using Design Robustness model"/>
    <m/>
  </r>
  <r>
    <n v="46"/>
    <x v="1"/>
    <x v="14"/>
    <s v="Architecture Conformance"/>
    <m/>
  </r>
  <r>
    <n v="47"/>
    <x v="1"/>
    <x v="14"/>
    <s v="Security Architecture and Design Review"/>
    <m/>
  </r>
  <r>
    <n v="48"/>
    <x v="1"/>
    <x v="14"/>
    <s v="Verification and Validation of detailed design"/>
    <m/>
  </r>
  <r>
    <n v="49"/>
    <x v="1"/>
    <x v="14"/>
    <s v="Prepare unit test plan and test cases"/>
    <m/>
  </r>
  <r>
    <n v="50"/>
    <x v="1"/>
    <x v="15"/>
    <s v="Code Programs"/>
    <m/>
  </r>
  <r>
    <n v="51"/>
    <x v="1"/>
    <x v="15"/>
    <s v="Conduct Code review"/>
    <m/>
  </r>
  <r>
    <n v="52"/>
    <x v="1"/>
    <x v="15"/>
    <s v="Conduct code profiling"/>
    <m/>
  </r>
  <r>
    <n v="53"/>
    <x v="1"/>
    <x v="15"/>
    <s v="Ensure that product quality metrics for code meet the goals"/>
    <m/>
  </r>
  <r>
    <n v="54"/>
    <x v="1"/>
    <x v="15"/>
    <s v="Conduct independent unit test"/>
    <m/>
  </r>
  <r>
    <n v="55"/>
    <x v="1"/>
    <x v="15"/>
    <s v="Verification and validation of build"/>
    <m/>
  </r>
  <r>
    <n v="56"/>
    <x v="1"/>
    <x v="15"/>
    <s v="Perform a review with the client or customer"/>
    <m/>
  </r>
  <r>
    <n v="57"/>
    <x v="1"/>
    <x v="16"/>
    <s v="Perform Integration Test"/>
    <m/>
  </r>
  <r>
    <n v="58"/>
    <x v="1"/>
    <x v="16"/>
    <s v="Verification and Validation of Integration Test Results"/>
    <m/>
  </r>
  <r>
    <n v="59"/>
    <x v="1"/>
    <x v="16"/>
    <s v="Perform system test(Functional Requirements)"/>
    <m/>
  </r>
  <r>
    <n v="60"/>
    <x v="1"/>
    <x v="16"/>
    <s v="Perform Other applicable Non-functional requirements testing"/>
    <m/>
  </r>
  <r>
    <n v="61"/>
    <x v="1"/>
    <x v="16"/>
    <s v="Verification and Validation of System Test Phase"/>
    <m/>
  </r>
  <r>
    <n v="62"/>
    <x v="1"/>
    <x v="17"/>
    <s v="Raise Change in the system"/>
    <m/>
  </r>
  <r>
    <n v="63"/>
    <x v="1"/>
    <x v="17"/>
    <s v="Prepare / Review Change artifacts"/>
    <m/>
  </r>
  <r>
    <n v="64"/>
    <x v="1"/>
    <x v="17"/>
    <s v="Attend CAB meetings for change approval"/>
    <m/>
  </r>
  <r>
    <n v="65"/>
    <x v="1"/>
    <x v="18"/>
    <s v="Plan Code Release/Installation"/>
    <m/>
  </r>
  <r>
    <n v="66"/>
    <x v="1"/>
    <x v="18"/>
    <s v="Plan Acceptance"/>
    <m/>
  </r>
  <r>
    <n v="67"/>
    <x v="1"/>
    <x v="18"/>
    <s v="Verification and validation of defects"/>
    <m/>
  </r>
  <r>
    <n v="68"/>
    <x v="1"/>
    <x v="18"/>
    <s v="Obtain Customer Sign Off"/>
    <m/>
  </r>
  <r>
    <n v="69"/>
    <x v="1"/>
    <x v="18"/>
    <s v="Conduct Customer or User training"/>
    <m/>
  </r>
  <r>
    <n v="70"/>
    <x v="1"/>
    <x v="18"/>
    <s v="Assess Environment readiness"/>
    <m/>
  </r>
  <r>
    <n v="71"/>
    <x v="1"/>
    <x v="18"/>
    <s v="Rollout Release Notes/Communication"/>
    <m/>
  </r>
  <r>
    <n v="72"/>
    <x v="1"/>
    <x v="18"/>
    <s v="Perform deployment"/>
    <m/>
  </r>
  <r>
    <n v="73"/>
    <x v="1"/>
    <x v="19"/>
    <s v="Plan post implementation activities"/>
    <m/>
  </r>
  <r>
    <n v="74"/>
    <x v="1"/>
    <x v="19"/>
    <s v="Fix production problems"/>
    <m/>
  </r>
  <r>
    <n v="75"/>
    <x v="1"/>
    <x v="19"/>
    <s v="Monitor production environment/ Provide warranty support"/>
    <m/>
  </r>
  <r>
    <n v="76"/>
    <x v="1"/>
    <x v="19"/>
    <s v="Conduct post implementation review"/>
    <m/>
  </r>
  <r>
    <n v="77"/>
    <x v="1"/>
    <x v="11"/>
    <m/>
    <m/>
  </r>
  <r>
    <n v="78"/>
    <x v="2"/>
    <x v="20"/>
    <s v="Gather details on test scope; test requirements and test environment"/>
    <m/>
  </r>
  <r>
    <n v="79"/>
    <x v="2"/>
    <x v="20"/>
    <s v="Identify various components that will be integrated and the interfaces"/>
    <m/>
  </r>
  <r>
    <n v="80"/>
    <x v="2"/>
    <x v="20"/>
    <s v="Assess testability of requirements"/>
    <m/>
  </r>
  <r>
    <n v="81"/>
    <x v="2"/>
    <x v="20"/>
    <s v="Assess feasibility of Continuous Automation(CA)"/>
    <m/>
  </r>
  <r>
    <n v="82"/>
    <x v="2"/>
    <x v="20"/>
    <s v="Assess feasibility of Combined Acceptance Testing (CAT)"/>
    <m/>
  </r>
  <r>
    <n v="83"/>
    <x v="2"/>
    <x v="20"/>
    <s v="Prepare Requirements Traceability Matrix (RTM)"/>
    <m/>
  </r>
  <r>
    <n v="84"/>
    <x v="2"/>
    <x v="20"/>
    <s v="Baseline Test requirements document"/>
    <m/>
  </r>
  <r>
    <n v="85"/>
    <x v="2"/>
    <x v="21"/>
    <s v="Identify the approach to meet client expectations and SLA(if any)"/>
    <m/>
  </r>
  <r>
    <n v="86"/>
    <x v="2"/>
    <x v="21"/>
    <s v="Create strategies for test case design and preparation"/>
    <m/>
  </r>
  <r>
    <n v="87"/>
    <x v="2"/>
    <x v="21"/>
    <s v="Identify and plan for various tools and reusable components to be used in the project"/>
    <m/>
  </r>
  <r>
    <n v="88"/>
    <x v="2"/>
    <x v="21"/>
    <s v="Create high level test scenarios and identify test data needs"/>
    <m/>
  </r>
  <r>
    <n v="89"/>
    <x v="2"/>
    <x v="21"/>
    <s v="Baseline Test strategy/ Test plan document"/>
    <m/>
  </r>
  <r>
    <n v="90"/>
    <x v="2"/>
    <x v="22"/>
    <s v="Prepare test cases for manual testing"/>
    <m/>
  </r>
  <r>
    <n v="91"/>
    <x v="2"/>
    <x v="22"/>
    <s v="Prepare test scripts for automated testing"/>
    <m/>
  </r>
  <r>
    <n v="92"/>
    <x v="2"/>
    <x v="22"/>
    <s v="Setup test environment/ Create test data and host it on test environment"/>
    <m/>
  </r>
  <r>
    <n v="93"/>
    <x v="2"/>
    <x v="22"/>
    <s v="Update RTM to ensure traceability (business requirements to test cases)"/>
    <m/>
  </r>
  <r>
    <n v="94"/>
    <x v="2"/>
    <x v="22"/>
    <s v="Perform test readiness check using smoke test approach"/>
    <m/>
  </r>
  <r>
    <n v="95"/>
    <x v="2"/>
    <x v="23"/>
    <s v="Perform functionality testing as per test suite for various components/features in the scope"/>
    <m/>
  </r>
  <r>
    <n v="96"/>
    <x v="2"/>
    <x v="23"/>
    <s v="Perform regression testing of application"/>
    <m/>
  </r>
  <r>
    <n v="97"/>
    <x v="2"/>
    <x v="23"/>
    <s v="Track the usage of tools and reuse"/>
    <m/>
  </r>
  <r>
    <n v="98"/>
    <x v="2"/>
    <x v="24"/>
    <s v="Review Test requirements document"/>
    <m/>
  </r>
  <r>
    <n v="99"/>
    <x v="2"/>
    <x v="24"/>
    <s v="Review Test strategy/ Test plan document"/>
    <m/>
  </r>
  <r>
    <n v="100"/>
    <x v="2"/>
    <x v="24"/>
    <s v="Test case / Test script Review"/>
    <m/>
  </r>
  <r>
    <n v="101"/>
    <x v="2"/>
    <x v="24"/>
    <s v="Review of any other deliverable"/>
    <m/>
  </r>
  <r>
    <n v="102"/>
    <x v="2"/>
    <x v="25"/>
    <s v="Defect Creation/ Logging / Tracking"/>
    <m/>
  </r>
  <r>
    <n v="103"/>
    <x v="2"/>
    <x v="26"/>
    <s v="Defect Triaging and tracking to closure"/>
    <m/>
  </r>
  <r>
    <n v="104"/>
    <x v="2"/>
    <x v="26"/>
    <s v="Perform/participate in causal analysis for the defects"/>
    <m/>
  </r>
  <r>
    <n v="105"/>
    <x v="2"/>
    <x v="11"/>
    <m/>
    <m/>
  </r>
  <r>
    <n v="106"/>
    <x v="3"/>
    <x v="27"/>
    <s v="Invoicing"/>
    <m/>
  </r>
  <r>
    <n v="107"/>
    <x v="3"/>
    <x v="27"/>
    <s v="Project Logistics"/>
    <m/>
  </r>
  <r>
    <n v="108"/>
    <x v="3"/>
    <x v="27"/>
    <s v="Project code creation"/>
    <m/>
  </r>
  <r>
    <n v="109"/>
    <x v="3"/>
    <x v="28"/>
    <s v="Resource On-boarding / Off-boarding; ODC access"/>
    <m/>
  </r>
  <r>
    <n v="110"/>
    <x v="3"/>
    <x v="29"/>
    <s v="Raise Demand/ follow-up with TPD"/>
    <m/>
  </r>
  <r>
    <n v="111"/>
    <x v="3"/>
    <x v="29"/>
    <s v="Conduct interviews"/>
    <m/>
  </r>
  <r>
    <n v="112"/>
    <x v="3"/>
    <x v="29"/>
    <s v="Plan for Trainings/ Induction/ KTs for new joinees"/>
    <m/>
  </r>
  <r>
    <n v="113"/>
    <x v="3"/>
    <x v="29"/>
    <s v="Prepare Capacity plan"/>
    <m/>
  </r>
  <r>
    <n v="114"/>
    <x v="3"/>
    <x v="30"/>
    <s v="Work Planning/ Work breakdown structure"/>
    <m/>
  </r>
  <r>
    <n v="115"/>
    <x v="3"/>
    <x v="30"/>
    <s v="Work Allocation and Tracking"/>
    <m/>
  </r>
  <r>
    <n v="116"/>
    <x v="3"/>
    <x v="30"/>
    <s v="Addressing Project related issues / clarifications"/>
    <m/>
  </r>
  <r>
    <n v="117"/>
    <x v="3"/>
    <x v="31"/>
    <s v="Coaching &amp; Mentoring"/>
    <m/>
  </r>
  <r>
    <n v="118"/>
    <x v="3"/>
    <x v="31"/>
    <s v="Tracking Team skill matrix; identify gaps and plan for trainings"/>
    <m/>
  </r>
  <r>
    <n v="119"/>
    <x v="3"/>
    <x v="31"/>
    <s v="Performance Feedback/ appraisals"/>
    <m/>
  </r>
  <r>
    <n v="120"/>
    <x v="3"/>
    <x v="32"/>
    <s v="Customer visit planning &amp; logistics"/>
    <m/>
  </r>
  <r>
    <n v="121"/>
    <x v="3"/>
    <x v="33"/>
    <s v="Periodic connect with Client stakeholders/ client visit presentations"/>
    <m/>
  </r>
  <r>
    <n v="122"/>
    <x v="3"/>
    <x v="33"/>
    <s v="New business opportunities"/>
    <m/>
  </r>
  <r>
    <n v="123"/>
    <x v="3"/>
    <x v="33"/>
    <s v="Seeking ELF/ CSAT"/>
    <m/>
  </r>
  <r>
    <n v="124"/>
    <x v="3"/>
    <x v="34"/>
    <s v="PM plan"/>
    <m/>
  </r>
  <r>
    <n v="125"/>
    <x v="3"/>
    <x v="34"/>
    <s v="Improvement ideas/ BTN/ Case studies"/>
    <m/>
  </r>
  <r>
    <n v="126"/>
    <x v="3"/>
    <x v="34"/>
    <s v="Quality reports and documents"/>
    <m/>
  </r>
  <r>
    <n v="127"/>
    <x v="3"/>
    <x v="34"/>
    <s v="Change Managament documents"/>
    <m/>
  </r>
  <r>
    <n v="128"/>
    <x v="3"/>
    <x v="35"/>
    <s v="Daily standup calls with team/ onsite-offshore calls"/>
    <m/>
  </r>
  <r>
    <n v="129"/>
    <x v="3"/>
    <x v="35"/>
    <s v="Team meetings "/>
    <m/>
  </r>
  <r>
    <n v="130"/>
    <x v="3"/>
    <x v="35"/>
    <s v="Governance / review calls with senior mgmt"/>
    <m/>
  </r>
  <r>
    <n v="131"/>
    <x v="3"/>
    <x v="35"/>
    <s v="Account or Unit level meetings/ workshops/ trainings/ Townhalls"/>
    <m/>
  </r>
  <r>
    <n v="132"/>
    <x v="3"/>
    <x v="36"/>
    <s v="Daily Scrum/ standup calls"/>
    <m/>
  </r>
  <r>
    <n v="133"/>
    <x v="3"/>
    <x v="36"/>
    <s v="Weekly/ Monthly Status calls (WSR/MSR review)"/>
    <m/>
  </r>
  <r>
    <n v="134"/>
    <x v="3"/>
    <x v="36"/>
    <s v="Client Escalation call "/>
    <m/>
  </r>
  <r>
    <n v="135"/>
    <x v="3"/>
    <x v="36"/>
    <s v="CAB meetings"/>
    <m/>
  </r>
  <r>
    <n v="136"/>
    <x v="3"/>
    <x v="37"/>
    <s v="KPI Metrics &amp; SLA Reporting  "/>
    <m/>
  </r>
  <r>
    <n v="137"/>
    <x v="3"/>
    <x v="37"/>
    <s v="Service standard adherence tracking"/>
    <m/>
  </r>
  <r>
    <n v="138"/>
    <x v="3"/>
    <x v="38"/>
    <s v="Weekly/ Monthly status reports (WSR/MSR) for client reporting"/>
    <m/>
  </r>
  <r>
    <n v="139"/>
    <x v="3"/>
    <x v="38"/>
    <s v="Reports Review"/>
    <m/>
  </r>
  <r>
    <n v="140"/>
    <x v="3"/>
    <x v="38"/>
    <s v="Invoice Report "/>
    <m/>
  </r>
  <r>
    <n v="141"/>
    <x v="3"/>
    <x v="38"/>
    <s v="Governance reports"/>
    <m/>
  </r>
  <r>
    <n v="142"/>
    <x v="3"/>
    <x v="39"/>
    <s v="Monthly PROMT activities &amp; Status "/>
    <m/>
  </r>
  <r>
    <n v="143"/>
    <x v="3"/>
    <x v="39"/>
    <s v="ALCON/ PBS/ OMS/ DPS"/>
    <m/>
  </r>
  <r>
    <n v="144"/>
    <x v="3"/>
    <x v="39"/>
    <s v="Compliance tracking"/>
    <m/>
  </r>
  <r>
    <n v="145"/>
    <x v="3"/>
    <x v="39"/>
    <s v="Transfers &amp; Visa Related"/>
    <m/>
  </r>
  <r>
    <n v="146"/>
    <x v="3"/>
    <x v="40"/>
    <s v="Quality Audit"/>
    <m/>
  </r>
  <r>
    <n v="147"/>
    <x v="3"/>
    <x v="40"/>
    <s v="BCMS Audit"/>
    <m/>
  </r>
  <r>
    <n v="148"/>
    <x v="3"/>
    <x v="40"/>
    <s v="External/Client Audit"/>
    <m/>
  </r>
  <r>
    <n v="149"/>
    <x v="3"/>
    <x v="41"/>
    <s v="Contract Renewal/ New proposals/ Reviews"/>
    <m/>
  </r>
  <r>
    <n v="150"/>
    <x v="3"/>
    <x v="42"/>
    <s v="Project Risk Calculation "/>
    <m/>
  </r>
  <r>
    <n v="151"/>
    <x v="3"/>
    <x v="42"/>
    <s v="Account level BCMS "/>
    <m/>
  </r>
  <r>
    <n v="152"/>
    <x v="3"/>
    <x v="42"/>
    <s v="Risk Documents "/>
    <m/>
  </r>
  <r>
    <n v="153"/>
    <x v="3"/>
    <x v="11"/>
    <m/>
    <m/>
  </r>
  <r>
    <n v="154"/>
    <x v="3"/>
    <x v="43"/>
    <s v="Closure Report/ TSR"/>
    <m/>
  </r>
  <r>
    <n v="155"/>
    <x v="3"/>
    <x v="43"/>
    <s v="Collate client feedback "/>
    <m/>
  </r>
  <r>
    <n v="156"/>
    <x v="3"/>
    <x v="43"/>
    <s v="Perform closure analysis/ Retrospective meeting &amp; document Lessons learnt"/>
    <m/>
  </r>
  <r>
    <n v="157"/>
    <x v="3"/>
    <x v="43"/>
    <s v="Conduct project closure meeting"/>
    <m/>
  </r>
  <r>
    <n v="158"/>
    <x v="3"/>
    <x v="43"/>
    <s v="Archive project and knowledge artifacts"/>
    <m/>
  </r>
  <r>
    <n v="159"/>
    <x v="4"/>
    <x v="44"/>
    <s v="Pre sales/ RFP/ Estimation activities for other projects/accounts"/>
    <m/>
  </r>
  <r>
    <n v="160"/>
    <x v="4"/>
    <x v="45"/>
    <s v="Training/Knowledge sharing and Certifications (Outside Project)"/>
    <m/>
  </r>
  <r>
    <n v="161"/>
    <x v="4"/>
    <x v="46"/>
    <s v="Emails/ Calls/ Meetings (not related to project)"/>
    <m/>
  </r>
  <r>
    <n v="162"/>
    <x v="4"/>
    <x v="47"/>
    <s v="AHM/ Initiatives/ Employee engagement"/>
    <m/>
  </r>
  <r>
    <n v="163"/>
    <x v="4"/>
    <x v="11"/>
    <m/>
    <m/>
  </r>
  <r>
    <n v="164"/>
    <x v="5"/>
    <x v="48"/>
    <s v="Project Scoping, Elicit the requirements and build product backlog"/>
    <m/>
  </r>
  <r>
    <n v="165"/>
    <x v="5"/>
    <x v="48"/>
    <s v="Resource Onboarding &amp; infrastructure"/>
    <m/>
  </r>
  <r>
    <n v="166"/>
    <x v="5"/>
    <x v="48"/>
    <s v="Configure tools/Analyze and Plan for engineering practices"/>
    <m/>
  </r>
  <r>
    <n v="167"/>
    <x v="5"/>
    <x v="49"/>
    <s v="Form the team"/>
    <m/>
  </r>
  <r>
    <n v="168"/>
    <x v="5"/>
    <x v="49"/>
    <s v="Develop prototype"/>
    <m/>
  </r>
  <r>
    <n v="169"/>
    <x v="5"/>
    <x v="49"/>
    <s v="Perform high level estimation of user stories"/>
    <m/>
  </r>
  <r>
    <n v="170"/>
    <x v="5"/>
    <x v="49"/>
    <s v="Create high level architecture and design"/>
    <m/>
  </r>
  <r>
    <n v="171"/>
    <x v="5"/>
    <x v="49"/>
    <s v="Identify testing approaches and strategies"/>
    <m/>
  </r>
  <r>
    <n v="172"/>
    <x v="5"/>
    <x v="49"/>
    <s v="Prepare release plan"/>
    <m/>
  </r>
  <r>
    <n v="173"/>
    <x v="5"/>
    <x v="50"/>
    <s v="Pre-activities to sprint planning session"/>
    <m/>
  </r>
  <r>
    <n v="174"/>
    <x v="5"/>
    <x v="50"/>
    <s v="Develop sprint backlog"/>
    <m/>
  </r>
  <r>
    <n v="175"/>
    <x v="5"/>
    <x v="50"/>
    <s v="Create task breakdown and estimate tasks"/>
    <m/>
  </r>
  <r>
    <n v="176"/>
    <x v="5"/>
    <x v="51"/>
    <s v="Perform detailed impact analysis for actual code changes"/>
    <m/>
  </r>
  <r>
    <n v="177"/>
    <x v="5"/>
    <x v="51"/>
    <s v="Elaborate technical architecture and design or changes to it"/>
    <m/>
  </r>
  <r>
    <n v="178"/>
    <x v="5"/>
    <x v="51"/>
    <s v="Create test cases and automation test scripts"/>
    <m/>
  </r>
  <r>
    <n v="179"/>
    <x v="5"/>
    <x v="51"/>
    <s v="Code development"/>
    <m/>
  </r>
  <r>
    <n v="180"/>
    <x v="5"/>
    <x v="51"/>
    <s v="Perform configuration management and integration"/>
    <m/>
  </r>
  <r>
    <n v="181"/>
    <x v="5"/>
    <x v="51"/>
    <s v="Conduct integration testing"/>
    <m/>
  </r>
  <r>
    <n v="182"/>
    <x v="5"/>
    <x v="51"/>
    <s v="Conduct regression test"/>
    <m/>
  </r>
  <r>
    <n v="183"/>
    <x v="5"/>
    <x v="51"/>
    <s v="Regression testing"/>
    <m/>
  </r>
  <r>
    <n v="184"/>
    <x v="5"/>
    <x v="51"/>
    <s v="Sprint review and Demo"/>
    <m/>
  </r>
  <r>
    <n v="185"/>
    <x v="5"/>
    <x v="51"/>
    <s v="Product backlog grooming"/>
    <m/>
  </r>
  <r>
    <n v="186"/>
    <x v="5"/>
    <x v="52"/>
    <s v="Sprint retrospective"/>
    <m/>
  </r>
  <r>
    <n v="187"/>
    <x v="5"/>
    <x v="53"/>
    <s v="Functional and non functional testing of the application for the release, Log and fix the defects"/>
    <m/>
  </r>
  <r>
    <n v="188"/>
    <x v="5"/>
    <x v="53"/>
    <s v="Conduct functional and non functional testing of the application for the release/ Log and fix the defects"/>
    <m/>
  </r>
  <r>
    <n v="189"/>
    <x v="5"/>
    <x v="53"/>
    <s v="Conduct user acceptance testing of the application and Log and fix the defects in UAT"/>
    <m/>
  </r>
  <r>
    <n v="190"/>
    <x v="5"/>
    <x v="53"/>
    <s v="Perform deployment activities as applicable to production environment"/>
    <m/>
  </r>
  <r>
    <m/>
    <x v="6"/>
    <x v="54"/>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
  <r>
    <n v="1"/>
    <x v="0"/>
    <x v="0"/>
    <s v="Ticket creation/ assignment"/>
    <m/>
  </r>
  <r>
    <n v="2"/>
    <x v="0"/>
    <x v="0"/>
    <s v="ITSM queue monitoring"/>
    <m/>
  </r>
  <r>
    <n v="3"/>
    <x v="0"/>
    <x v="1"/>
    <s v="Ticket initial analysis"/>
    <m/>
  </r>
  <r>
    <n v="4"/>
    <x v="0"/>
    <x v="2"/>
    <s v="Ticket analysis"/>
    <m/>
  </r>
  <r>
    <n v="5"/>
    <x v="0"/>
    <x v="2"/>
    <s v="Ticket resolution"/>
    <m/>
  </r>
  <r>
    <n v="6"/>
    <x v="0"/>
    <x v="3"/>
    <s v="Ticketing tool updates/ dashboards"/>
    <m/>
  </r>
  <r>
    <n v="7"/>
    <x v="0"/>
    <x v="3"/>
    <s v="Ticket closure &amp; confirmation"/>
    <m/>
  </r>
  <r>
    <n v="8"/>
    <x v="0"/>
    <x v="3"/>
    <s v="Reporting"/>
    <m/>
  </r>
  <r>
    <n v="9"/>
    <x v="0"/>
    <x v="4"/>
    <s v="Root cause Investigation"/>
    <m/>
  </r>
  <r>
    <n v="10"/>
    <x v="0"/>
    <x v="4"/>
    <s v="Tracking PBI/PKEs and reporting status"/>
    <m/>
  </r>
  <r>
    <n v="11"/>
    <x v="0"/>
    <x v="5"/>
    <s v="Application / Batch Job monitoring"/>
    <m/>
  </r>
  <r>
    <n v="12"/>
    <x v="0"/>
    <x v="5"/>
    <s v="Email alerts"/>
    <m/>
  </r>
  <r>
    <n v="13"/>
    <x v="0"/>
    <x v="5"/>
    <s v="System health checks"/>
    <m/>
  </r>
  <r>
    <n v="14"/>
    <x v="0"/>
    <x v="6"/>
    <s v="Server upgrade/ migration/ patching/ decommissioning activities"/>
    <m/>
  </r>
  <r>
    <n v="15"/>
    <x v="0"/>
    <x v="6"/>
    <s v="Certificate renewal/ installation"/>
    <m/>
  </r>
  <r>
    <n v="16"/>
    <x v="0"/>
    <x v="6"/>
    <s v="User access revalidation (UAR) activities"/>
    <m/>
  </r>
  <r>
    <n v="17"/>
    <x v="0"/>
    <x v="6"/>
    <s v="DR/ BCP planning and testing activities "/>
    <m/>
  </r>
  <r>
    <n v="18"/>
    <x v="0"/>
    <x v="6"/>
    <s v="Update/ Review System Appreciation or Support documents periodically"/>
    <m/>
  </r>
  <r>
    <n v="19"/>
    <x v="0"/>
    <x v="7"/>
    <s v="Raise Change in the system"/>
    <m/>
  </r>
  <r>
    <n v="20"/>
    <x v="0"/>
    <x v="7"/>
    <s v="Prepare / Review Change artifacts"/>
    <m/>
  </r>
  <r>
    <n v="21"/>
    <x v="0"/>
    <x v="7"/>
    <s v="Attend CAB meetings"/>
    <m/>
  </r>
  <r>
    <n v="22"/>
    <x v="0"/>
    <x v="7"/>
    <s v="Deploy changes"/>
    <m/>
  </r>
  <r>
    <n v="23"/>
    <x v="0"/>
    <x v="7"/>
    <s v="Post implementation verification (PIV)"/>
    <m/>
  </r>
  <r>
    <n v="24"/>
    <x v="0"/>
    <x v="8"/>
    <s v="Guidance/ Mentoring to team"/>
    <m/>
  </r>
  <r>
    <n v="25"/>
    <x v="0"/>
    <x v="8"/>
    <s v="Plan and conduct KM sessions"/>
    <m/>
  </r>
  <r>
    <n v="26"/>
    <x v="0"/>
    <x v="9"/>
    <s v="Application Training/KT"/>
    <m/>
  </r>
  <r>
    <n v="27"/>
    <x v="0"/>
    <x v="10"/>
    <s v="Continuous improvement/Service improvement activities"/>
    <m/>
  </r>
  <r>
    <n v="28"/>
    <x v="0"/>
    <x v="10"/>
    <s v="Periodic ideas generation meeting with the team"/>
    <m/>
  </r>
  <r>
    <n v="29"/>
    <x v="0"/>
    <x v="11"/>
    <m/>
    <m/>
  </r>
  <r>
    <n v="30"/>
    <x v="1"/>
    <x v="12"/>
    <s v="Requirement gathering analysis and documentation"/>
    <m/>
  </r>
  <r>
    <n v="31"/>
    <x v="1"/>
    <x v="12"/>
    <s v="Elicit As-Is &amp; To-Be Processes "/>
    <m/>
  </r>
  <r>
    <n v="32"/>
    <x v="1"/>
    <x v="12"/>
    <s v="Elicit detailed Requirements and Business Rules"/>
    <m/>
  </r>
  <r>
    <n v="33"/>
    <x v="1"/>
    <x v="12"/>
    <s v="Review business requirements and business rules"/>
    <m/>
  </r>
  <r>
    <n v="34"/>
    <x v="1"/>
    <x v="12"/>
    <s v="Analyze and Prioritize Requirements"/>
    <m/>
  </r>
  <r>
    <n v="35"/>
    <x v="1"/>
    <x v="12"/>
    <s v="Prepare acceptance criteria"/>
    <m/>
  </r>
  <r>
    <n v="36"/>
    <x v="1"/>
    <x v="12"/>
    <s v="Validate and obtain sign-offs of Requirement documentation"/>
    <m/>
  </r>
  <r>
    <n v="37"/>
    <x v="1"/>
    <x v="13"/>
    <s v="Understand Architecture requirements and define logical architecture"/>
    <m/>
  </r>
  <r>
    <n v="38"/>
    <x v="1"/>
    <x v="13"/>
    <s v="Identify reusable/open source components to be used"/>
    <m/>
  </r>
  <r>
    <n v="39"/>
    <x v="1"/>
    <x v="13"/>
    <s v="Validate performance requirements"/>
    <m/>
  </r>
  <r>
    <n v="40"/>
    <x v="1"/>
    <x v="13"/>
    <s v="Create functional design"/>
    <m/>
  </r>
  <r>
    <n v="41"/>
    <x v="1"/>
    <x v="13"/>
    <s v="Verification and Validation of High level design"/>
    <m/>
  </r>
  <r>
    <n v="42"/>
    <x v="1"/>
    <x v="13"/>
    <s v="Conduct walkthrough of requirements and HLD with Dev and Testing teams"/>
    <m/>
  </r>
  <r>
    <n v="43"/>
    <x v="1"/>
    <x v="14"/>
    <s v="Design and Develop Reusable components and Skeleton programs"/>
    <m/>
  </r>
  <r>
    <n v="44"/>
    <x v="1"/>
    <x v="14"/>
    <s v="Create program design"/>
    <m/>
  </r>
  <r>
    <n v="45"/>
    <x v="1"/>
    <x v="14"/>
    <s v="Verify design quality using Design Robustness model"/>
    <m/>
  </r>
  <r>
    <n v="46"/>
    <x v="1"/>
    <x v="14"/>
    <s v="Architecture Conformance"/>
    <m/>
  </r>
  <r>
    <n v="47"/>
    <x v="1"/>
    <x v="14"/>
    <s v="Security Architecture and Design Review"/>
    <m/>
  </r>
  <r>
    <n v="48"/>
    <x v="1"/>
    <x v="14"/>
    <s v="Verification and Validation of detailed design"/>
    <m/>
  </r>
  <r>
    <n v="49"/>
    <x v="1"/>
    <x v="14"/>
    <s v="Prepare unit test plan and test cases"/>
    <m/>
  </r>
  <r>
    <n v="50"/>
    <x v="1"/>
    <x v="15"/>
    <s v="Code Programs"/>
    <m/>
  </r>
  <r>
    <n v="51"/>
    <x v="1"/>
    <x v="15"/>
    <s v="Conduct Code review"/>
    <m/>
  </r>
  <r>
    <n v="52"/>
    <x v="1"/>
    <x v="15"/>
    <s v="Conduct code profiling"/>
    <m/>
  </r>
  <r>
    <n v="53"/>
    <x v="1"/>
    <x v="15"/>
    <s v="Ensure that product quality metrics for code meet the goals"/>
    <m/>
  </r>
  <r>
    <n v="54"/>
    <x v="1"/>
    <x v="15"/>
    <s v="Conduct independent unit test"/>
    <m/>
  </r>
  <r>
    <n v="55"/>
    <x v="1"/>
    <x v="15"/>
    <s v="Verification and validation of build"/>
    <m/>
  </r>
  <r>
    <n v="56"/>
    <x v="1"/>
    <x v="15"/>
    <s v="Perform a review with the client or customer"/>
    <m/>
  </r>
  <r>
    <n v="57"/>
    <x v="1"/>
    <x v="16"/>
    <s v="Perform Integration Test"/>
    <m/>
  </r>
  <r>
    <n v="58"/>
    <x v="1"/>
    <x v="16"/>
    <s v="Verification and Validation of Integration Test Results"/>
    <m/>
  </r>
  <r>
    <n v="59"/>
    <x v="1"/>
    <x v="16"/>
    <s v="Perform system test(Functional Requirements)"/>
    <m/>
  </r>
  <r>
    <n v="60"/>
    <x v="1"/>
    <x v="16"/>
    <s v="Perform Other applicable Non-functional requirements testing"/>
    <m/>
  </r>
  <r>
    <n v="61"/>
    <x v="1"/>
    <x v="16"/>
    <s v="Verification and Validation of System Test Phase"/>
    <m/>
  </r>
  <r>
    <n v="62"/>
    <x v="1"/>
    <x v="17"/>
    <s v="Raise Change in the system"/>
    <m/>
  </r>
  <r>
    <n v="63"/>
    <x v="1"/>
    <x v="17"/>
    <s v="Prepare / Review Change artifacts"/>
    <m/>
  </r>
  <r>
    <n v="64"/>
    <x v="1"/>
    <x v="17"/>
    <s v="Attend CAB meetings for change approval"/>
    <m/>
  </r>
  <r>
    <n v="65"/>
    <x v="1"/>
    <x v="18"/>
    <s v="Plan Code Release/Installation"/>
    <m/>
  </r>
  <r>
    <n v="66"/>
    <x v="1"/>
    <x v="18"/>
    <s v="Plan Acceptance"/>
    <m/>
  </r>
  <r>
    <n v="67"/>
    <x v="1"/>
    <x v="18"/>
    <s v="Verification and validation of defects"/>
    <m/>
  </r>
  <r>
    <n v="68"/>
    <x v="1"/>
    <x v="18"/>
    <s v="Obtain Customer Sign Off"/>
    <m/>
  </r>
  <r>
    <n v="69"/>
    <x v="1"/>
    <x v="18"/>
    <s v="Conduct Customer or User training"/>
    <m/>
  </r>
  <r>
    <n v="70"/>
    <x v="1"/>
    <x v="18"/>
    <s v="Assess Environment readiness"/>
    <m/>
  </r>
  <r>
    <n v="71"/>
    <x v="1"/>
    <x v="18"/>
    <s v="Rollout Release Notes/Communication"/>
    <m/>
  </r>
  <r>
    <n v="72"/>
    <x v="1"/>
    <x v="18"/>
    <s v="Perform deployment"/>
    <m/>
  </r>
  <r>
    <n v="73"/>
    <x v="1"/>
    <x v="19"/>
    <s v="Plan post implementation activities"/>
    <m/>
  </r>
  <r>
    <n v="74"/>
    <x v="1"/>
    <x v="19"/>
    <s v="Fix production problems"/>
    <m/>
  </r>
  <r>
    <n v="75"/>
    <x v="1"/>
    <x v="19"/>
    <s v="Monitor production environment/ Provide warranty support"/>
    <m/>
  </r>
  <r>
    <n v="76"/>
    <x v="1"/>
    <x v="19"/>
    <s v="Conduct post implementation review"/>
    <m/>
  </r>
  <r>
    <n v="77"/>
    <x v="1"/>
    <x v="11"/>
    <m/>
    <m/>
  </r>
  <r>
    <n v="78"/>
    <x v="2"/>
    <x v="20"/>
    <s v="Gather details on test scope; test requirements and test environment"/>
    <m/>
  </r>
  <r>
    <n v="79"/>
    <x v="2"/>
    <x v="20"/>
    <s v="Identify various components that will be integrated and the interfaces"/>
    <m/>
  </r>
  <r>
    <n v="80"/>
    <x v="2"/>
    <x v="20"/>
    <s v="Assess testability of requirements"/>
    <m/>
  </r>
  <r>
    <n v="81"/>
    <x v="2"/>
    <x v="20"/>
    <s v="Assess feasibility of Continuous Automation(CA)"/>
    <m/>
  </r>
  <r>
    <n v="82"/>
    <x v="2"/>
    <x v="20"/>
    <s v="Assess feasibility of Combined Acceptance Testing (CAT)"/>
    <m/>
  </r>
  <r>
    <n v="83"/>
    <x v="2"/>
    <x v="20"/>
    <s v="Prepare Requirements Traceability Matrix (RTM)"/>
    <m/>
  </r>
  <r>
    <n v="84"/>
    <x v="2"/>
    <x v="20"/>
    <s v="Baseline Test requirements document"/>
    <m/>
  </r>
  <r>
    <n v="85"/>
    <x v="2"/>
    <x v="21"/>
    <s v="Identify the approach to meet client expectations and SLA(if any)"/>
    <m/>
  </r>
  <r>
    <n v="86"/>
    <x v="2"/>
    <x v="21"/>
    <s v="Create strategies for test case design and preparation"/>
    <m/>
  </r>
  <r>
    <n v="87"/>
    <x v="2"/>
    <x v="21"/>
    <s v="Identify and plan for various tools and reusable components to be used in the project"/>
    <m/>
  </r>
  <r>
    <n v="88"/>
    <x v="2"/>
    <x v="21"/>
    <s v="Create high level test scenarios and identify test data needs"/>
    <m/>
  </r>
  <r>
    <n v="89"/>
    <x v="2"/>
    <x v="21"/>
    <s v="Baseline Test strategy/ Test plan document"/>
    <m/>
  </r>
  <r>
    <n v="90"/>
    <x v="2"/>
    <x v="22"/>
    <s v="Prepare test cases for manual testing"/>
    <m/>
  </r>
  <r>
    <n v="91"/>
    <x v="2"/>
    <x v="22"/>
    <s v="Prepare test scripts for automated testing"/>
    <m/>
  </r>
  <r>
    <n v="92"/>
    <x v="2"/>
    <x v="22"/>
    <s v="Setup test environment/ Create test data and host it on test environment"/>
    <m/>
  </r>
  <r>
    <n v="93"/>
    <x v="2"/>
    <x v="22"/>
    <s v="Update RTM to ensure traceability (business requirements to test cases)"/>
    <m/>
  </r>
  <r>
    <n v="94"/>
    <x v="2"/>
    <x v="22"/>
    <s v="Perform test readiness check using smoke test approach"/>
    <m/>
  </r>
  <r>
    <n v="95"/>
    <x v="2"/>
    <x v="23"/>
    <s v="Perform functionality testing as per test suite for various components/features in the scope"/>
    <m/>
  </r>
  <r>
    <n v="96"/>
    <x v="2"/>
    <x v="23"/>
    <s v="Perform regression testing of application"/>
    <m/>
  </r>
  <r>
    <n v="97"/>
    <x v="2"/>
    <x v="23"/>
    <s v="Track the usage of tools and reuse"/>
    <m/>
  </r>
  <r>
    <n v="98"/>
    <x v="2"/>
    <x v="24"/>
    <s v="Review Test requirements document"/>
    <m/>
  </r>
  <r>
    <n v="99"/>
    <x v="2"/>
    <x v="24"/>
    <s v="Review Test strategy/ Test plan document"/>
    <m/>
  </r>
  <r>
    <n v="100"/>
    <x v="2"/>
    <x v="24"/>
    <s v="Test case / Test script Review"/>
    <m/>
  </r>
  <r>
    <n v="101"/>
    <x v="2"/>
    <x v="24"/>
    <s v="Review of any other deliverable"/>
    <m/>
  </r>
  <r>
    <n v="102"/>
    <x v="2"/>
    <x v="25"/>
    <s v="Defect Creation/ Logging / Tracking"/>
    <m/>
  </r>
  <r>
    <n v="103"/>
    <x v="2"/>
    <x v="26"/>
    <s v="Defect Triaging and tracking to closure"/>
    <m/>
  </r>
  <r>
    <n v="104"/>
    <x v="2"/>
    <x v="26"/>
    <s v="Perform/participate in causal analysis for the defects"/>
    <m/>
  </r>
  <r>
    <n v="105"/>
    <x v="2"/>
    <x v="11"/>
    <m/>
    <m/>
  </r>
  <r>
    <n v="106"/>
    <x v="3"/>
    <x v="27"/>
    <s v="Invoicing"/>
    <m/>
  </r>
  <r>
    <n v="107"/>
    <x v="3"/>
    <x v="27"/>
    <s v="Project Logistics"/>
    <m/>
  </r>
  <r>
    <n v="108"/>
    <x v="3"/>
    <x v="27"/>
    <s v="Project code creation"/>
    <m/>
  </r>
  <r>
    <n v="109"/>
    <x v="3"/>
    <x v="28"/>
    <s v="Resource On-boarding / Off-boarding; ODC access"/>
    <m/>
  </r>
  <r>
    <n v="110"/>
    <x v="3"/>
    <x v="29"/>
    <s v="Raise Demand/ follow-up with TPD"/>
    <m/>
  </r>
  <r>
    <n v="111"/>
    <x v="3"/>
    <x v="29"/>
    <s v="Conduct interviews"/>
    <m/>
  </r>
  <r>
    <n v="112"/>
    <x v="3"/>
    <x v="29"/>
    <s v="Plan for Trainings/ Induction/ KTs for new joinees"/>
    <m/>
  </r>
  <r>
    <n v="113"/>
    <x v="3"/>
    <x v="29"/>
    <s v="Prepare Capacity plan"/>
    <m/>
  </r>
  <r>
    <n v="114"/>
    <x v="3"/>
    <x v="30"/>
    <s v="Work Planning/ Work breakdown structure"/>
    <m/>
  </r>
  <r>
    <n v="115"/>
    <x v="3"/>
    <x v="30"/>
    <s v="Work Allocation and Tracking"/>
    <m/>
  </r>
  <r>
    <n v="116"/>
    <x v="3"/>
    <x v="30"/>
    <s v="Addressing Project related issues / clarifications"/>
    <m/>
  </r>
  <r>
    <n v="117"/>
    <x v="3"/>
    <x v="31"/>
    <s v="Coaching &amp; Mentoring"/>
    <m/>
  </r>
  <r>
    <n v="118"/>
    <x v="3"/>
    <x v="31"/>
    <s v="Tracking Team skill matrix; identify gaps and plan for trainings"/>
    <m/>
  </r>
  <r>
    <n v="119"/>
    <x v="3"/>
    <x v="31"/>
    <s v="Performance Feedback/ appraisals"/>
    <m/>
  </r>
  <r>
    <n v="120"/>
    <x v="3"/>
    <x v="32"/>
    <s v="Customer visit planning &amp; logistics"/>
    <m/>
  </r>
  <r>
    <n v="121"/>
    <x v="3"/>
    <x v="33"/>
    <s v="Periodic connect with Client stakeholders/ client visit presentations"/>
    <m/>
  </r>
  <r>
    <n v="122"/>
    <x v="3"/>
    <x v="33"/>
    <s v="New business opportunities"/>
    <m/>
  </r>
  <r>
    <n v="123"/>
    <x v="3"/>
    <x v="33"/>
    <s v="Seeking ELF/ CSAT"/>
    <m/>
  </r>
  <r>
    <n v="124"/>
    <x v="3"/>
    <x v="34"/>
    <s v="PM plan"/>
    <m/>
  </r>
  <r>
    <n v="125"/>
    <x v="3"/>
    <x v="34"/>
    <s v="Improvement ideas/ BTN/ Case studies"/>
    <m/>
  </r>
  <r>
    <n v="126"/>
    <x v="3"/>
    <x v="34"/>
    <s v="Quality reports and documents"/>
    <m/>
  </r>
  <r>
    <n v="127"/>
    <x v="3"/>
    <x v="34"/>
    <s v="Change Managament documents"/>
    <m/>
  </r>
  <r>
    <n v="128"/>
    <x v="3"/>
    <x v="35"/>
    <s v="Daily standup calls with team/ onsite-offshore calls"/>
    <m/>
  </r>
  <r>
    <n v="129"/>
    <x v="3"/>
    <x v="35"/>
    <s v="Team meetings "/>
    <m/>
  </r>
  <r>
    <n v="130"/>
    <x v="3"/>
    <x v="35"/>
    <s v="Governance / review calls with senior mgmt"/>
    <m/>
  </r>
  <r>
    <n v="131"/>
    <x v="3"/>
    <x v="35"/>
    <s v="Account or Unit level meetings/ workshops/ trainings/ Townhalls"/>
    <m/>
  </r>
  <r>
    <n v="132"/>
    <x v="3"/>
    <x v="36"/>
    <s v="Daily Scrum/ standup calls"/>
    <m/>
  </r>
  <r>
    <n v="133"/>
    <x v="3"/>
    <x v="36"/>
    <s v="Weekly/ Monthly Status calls (WSR/MSR review)"/>
    <m/>
  </r>
  <r>
    <n v="134"/>
    <x v="3"/>
    <x v="36"/>
    <s v="Client Escalation call "/>
    <m/>
  </r>
  <r>
    <n v="135"/>
    <x v="3"/>
    <x v="36"/>
    <s v="CAB meetings"/>
    <m/>
  </r>
  <r>
    <n v="136"/>
    <x v="3"/>
    <x v="37"/>
    <s v="KPI Metrics &amp; SLA Reporting  "/>
    <m/>
  </r>
  <r>
    <n v="137"/>
    <x v="3"/>
    <x v="37"/>
    <s v="Service standard adherence tracking"/>
    <m/>
  </r>
  <r>
    <n v="138"/>
    <x v="3"/>
    <x v="38"/>
    <s v="Weekly/ Monthly status reports (WSR/MSR) for client reporting"/>
    <m/>
  </r>
  <r>
    <n v="139"/>
    <x v="3"/>
    <x v="38"/>
    <s v="Reports Review"/>
    <m/>
  </r>
  <r>
    <n v="140"/>
    <x v="3"/>
    <x v="38"/>
    <s v="Invoice Report "/>
    <m/>
  </r>
  <r>
    <n v="141"/>
    <x v="3"/>
    <x v="38"/>
    <s v="Governance reports"/>
    <m/>
  </r>
  <r>
    <n v="142"/>
    <x v="3"/>
    <x v="39"/>
    <s v="Monthly PROMT/PROPEL activities &amp; Status "/>
    <m/>
  </r>
  <r>
    <n v="143"/>
    <x v="3"/>
    <x v="39"/>
    <s v="ALCON/ PBS/ OMS/ DPS"/>
    <m/>
  </r>
  <r>
    <n v="144"/>
    <x v="3"/>
    <x v="39"/>
    <s v="Compliance tracking"/>
    <m/>
  </r>
  <r>
    <n v="145"/>
    <x v="3"/>
    <x v="39"/>
    <s v="Transfers &amp; Visa Related"/>
    <m/>
  </r>
  <r>
    <n v="146"/>
    <x v="3"/>
    <x v="40"/>
    <s v="Quality Audit"/>
    <m/>
  </r>
  <r>
    <n v="147"/>
    <x v="3"/>
    <x v="40"/>
    <s v="BCMS Audit"/>
    <m/>
  </r>
  <r>
    <n v="148"/>
    <x v="3"/>
    <x v="40"/>
    <s v="External/Client Audit"/>
    <m/>
  </r>
  <r>
    <n v="149"/>
    <x v="3"/>
    <x v="41"/>
    <s v="Contract Renewal/ New proposals/ Reviews"/>
    <m/>
  </r>
  <r>
    <n v="150"/>
    <x v="3"/>
    <x v="42"/>
    <s v="Project Risk Calculation "/>
    <m/>
  </r>
  <r>
    <n v="151"/>
    <x v="3"/>
    <x v="42"/>
    <s v="Account level BCMS "/>
    <m/>
  </r>
  <r>
    <n v="152"/>
    <x v="3"/>
    <x v="42"/>
    <s v="Risk Documents "/>
    <m/>
  </r>
  <r>
    <n v="153"/>
    <x v="3"/>
    <x v="11"/>
    <m/>
    <m/>
  </r>
  <r>
    <n v="154"/>
    <x v="3"/>
    <x v="43"/>
    <s v="Closure Report/ TSR"/>
    <m/>
  </r>
  <r>
    <n v="155"/>
    <x v="3"/>
    <x v="43"/>
    <s v="Collate client feedback "/>
    <m/>
  </r>
  <r>
    <n v="156"/>
    <x v="3"/>
    <x v="43"/>
    <s v="Perform closure analysis/ Retrospective meeting &amp; document Lessons learnt"/>
    <m/>
  </r>
  <r>
    <n v="157"/>
    <x v="3"/>
    <x v="43"/>
    <s v="Conduct project closure meeting"/>
    <m/>
  </r>
  <r>
    <n v="158"/>
    <x v="3"/>
    <x v="43"/>
    <s v="Archive project and knowledge artifacts"/>
    <m/>
  </r>
  <r>
    <n v="159"/>
    <x v="4"/>
    <x v="44"/>
    <s v="Pre sales/ RFP/ Estimation activities for other projects/accounts"/>
    <m/>
  </r>
  <r>
    <n v="160"/>
    <x v="4"/>
    <x v="45"/>
    <s v="Training/ Knowledge sharing and Certifications (Outside Project)"/>
    <m/>
  </r>
  <r>
    <n v="161"/>
    <x v="4"/>
    <x v="46"/>
    <s v="Emails/ Calls/ Meetings (not related to project)"/>
    <m/>
  </r>
  <r>
    <n v="162"/>
    <x v="4"/>
    <x v="47"/>
    <s v="AHM/ Initiatives/ Employee engagement"/>
    <m/>
  </r>
  <r>
    <n v="163"/>
    <x v="4"/>
    <x v="48"/>
    <s v="Leverage platforms like EVINCO for quick onboarding and upgrading resource skill as per client requirements."/>
    <m/>
  </r>
  <r>
    <n v="164"/>
    <x v="4"/>
    <x v="11"/>
    <m/>
    <m/>
  </r>
  <r>
    <n v="165"/>
    <x v="5"/>
    <x v="49"/>
    <s v="Project Scoping/ Elicit the requirements and build product backlog"/>
    <m/>
  </r>
  <r>
    <n v="166"/>
    <x v="5"/>
    <x v="49"/>
    <s v="Resource Onboarding &amp; infrastructure"/>
    <m/>
  </r>
  <r>
    <n v="167"/>
    <x v="5"/>
    <x v="49"/>
    <s v="Configure tools/Analyze and Plan for engineering practices"/>
    <m/>
  </r>
  <r>
    <n v="168"/>
    <x v="5"/>
    <x v="50"/>
    <s v="Form the team"/>
    <m/>
  </r>
  <r>
    <n v="169"/>
    <x v="5"/>
    <x v="50"/>
    <s v="Develop prototype"/>
    <m/>
  </r>
  <r>
    <n v="170"/>
    <x v="5"/>
    <x v="50"/>
    <s v="Perform high level estimation of user stories"/>
    <m/>
  </r>
  <r>
    <n v="171"/>
    <x v="5"/>
    <x v="50"/>
    <s v="Create high level architecture and design"/>
    <m/>
  </r>
  <r>
    <n v="172"/>
    <x v="5"/>
    <x v="50"/>
    <s v="Identify testing approaches and strategies"/>
    <m/>
  </r>
  <r>
    <n v="173"/>
    <x v="5"/>
    <x v="50"/>
    <s v="Prepare release plan"/>
    <m/>
  </r>
  <r>
    <n v="174"/>
    <x v="5"/>
    <x v="51"/>
    <s v="Pre-activities to sprint planning session"/>
    <m/>
  </r>
  <r>
    <n v="175"/>
    <x v="5"/>
    <x v="51"/>
    <s v="Develop sprint backlog"/>
    <m/>
  </r>
  <r>
    <n v="176"/>
    <x v="5"/>
    <x v="51"/>
    <s v="Create task breakdown and estimate tasks"/>
    <m/>
  </r>
  <r>
    <n v="177"/>
    <x v="5"/>
    <x v="52"/>
    <s v="Perform detailed impact analysis for actual code changes"/>
    <m/>
  </r>
  <r>
    <n v="178"/>
    <x v="5"/>
    <x v="52"/>
    <s v="Elaborate technical architecture and design or changes to it"/>
    <m/>
  </r>
  <r>
    <n v="179"/>
    <x v="5"/>
    <x v="52"/>
    <s v="Create test cases and automation test scripts"/>
    <m/>
  </r>
  <r>
    <n v="180"/>
    <x v="5"/>
    <x v="52"/>
    <s v="Code development"/>
    <m/>
  </r>
  <r>
    <n v="181"/>
    <x v="5"/>
    <x v="52"/>
    <s v="Perform configuration management and integration"/>
    <m/>
  </r>
  <r>
    <n v="182"/>
    <x v="5"/>
    <x v="52"/>
    <s v="Conduct integration testing"/>
    <m/>
  </r>
  <r>
    <n v="183"/>
    <x v="5"/>
    <x v="52"/>
    <s v="Conduct regression test"/>
    <m/>
  </r>
  <r>
    <n v="184"/>
    <x v="5"/>
    <x v="52"/>
    <s v="Regression testing"/>
    <m/>
  </r>
  <r>
    <n v="185"/>
    <x v="5"/>
    <x v="52"/>
    <s v="Sprint review and Demo"/>
    <m/>
  </r>
  <r>
    <n v="186"/>
    <x v="5"/>
    <x v="52"/>
    <s v="Product backlog grooming"/>
    <m/>
  </r>
  <r>
    <n v="187"/>
    <x v="5"/>
    <x v="53"/>
    <s v="Sprint retrospective"/>
    <m/>
  </r>
  <r>
    <n v="188"/>
    <x v="5"/>
    <x v="54"/>
    <s v="Functional and non functional testing of the application for the release/Log and fix the defects"/>
    <m/>
  </r>
  <r>
    <n v="189"/>
    <x v="5"/>
    <x v="54"/>
    <s v="Conduct functional and non functional testing of the application for the release/ Log and fix the defects"/>
    <m/>
  </r>
  <r>
    <n v="190"/>
    <x v="5"/>
    <x v="54"/>
    <s v="Conduct user acceptance testing of the application and Log and fix the defects in UAT"/>
    <m/>
  </r>
  <r>
    <n v="191"/>
    <x v="5"/>
    <x v="54"/>
    <s v="Perform deployment activities as applicable to production environment"/>
    <m/>
  </r>
  <r>
    <n v="192"/>
    <x v="3"/>
    <x v="55"/>
    <s v="Shift hand over activities"/>
    <m/>
  </r>
  <r>
    <n v="193"/>
    <x v="0"/>
    <x v="56"/>
    <s v="Resource onboarding activities like application access/ network access etc."/>
    <m/>
  </r>
  <r>
    <n v="194"/>
    <x v="0"/>
    <x v="56"/>
    <s v="Application infrastructure onboarding/ installation/ trainings/ licenses approvals"/>
    <m/>
  </r>
  <r>
    <n v="195"/>
    <x v="6"/>
    <x v="57"/>
    <s v="Requirements planning/ elicitation/ analysis"/>
    <m/>
  </r>
  <r>
    <n v="196"/>
    <x v="6"/>
    <x v="58"/>
    <s v="Architecture and High Level Design"/>
    <m/>
  </r>
  <r>
    <n v="197"/>
    <x v="6"/>
    <x v="59"/>
    <s v="Impact analysis/Design"/>
    <m/>
  </r>
  <r>
    <n v="198"/>
    <x v="6"/>
    <x v="60"/>
    <s v="User Acceptance Testing &amp; Support"/>
    <m/>
  </r>
  <r>
    <n v="199"/>
    <x v="6"/>
    <x v="61"/>
    <s v="Deployment/ Post Implementation Warranty"/>
    <m/>
  </r>
  <r>
    <n v="200"/>
    <x v="6"/>
    <x v="62"/>
    <s v="Manage requirement/ change advisory board meetings"/>
    <m/>
  </r>
  <r>
    <n v="201"/>
    <x v="6"/>
    <x v="63"/>
    <s v="Test strategizing and planning"/>
    <m/>
  </r>
  <r>
    <n v="202"/>
    <x v="6"/>
    <x v="64"/>
    <s v="Defect Triaging and Tracking"/>
    <m/>
  </r>
  <r>
    <n v="203"/>
    <x v="6"/>
    <x v="65"/>
    <s v="Review activities"/>
    <m/>
  </r>
  <r>
    <n v="204"/>
    <x v="6"/>
    <x v="66"/>
    <s v="Test requirements gathering and analysis"/>
    <m/>
  </r>
  <r>
    <n v="205"/>
    <x v="6"/>
    <x v="67"/>
    <s v="Ticket Initial Diagnosis"/>
    <m/>
  </r>
  <r>
    <n v="206"/>
    <x v="6"/>
    <x v="68"/>
    <s v="Ticket Analysis and Resolution"/>
    <m/>
  </r>
  <r>
    <n v="207"/>
    <x v="6"/>
    <x v="69"/>
    <s v="Guidance and Mentoring to lower JLs"/>
    <m/>
  </r>
  <r>
    <n v="208"/>
    <x v="6"/>
    <x v="70"/>
    <s v="Problem Management / RCA"/>
    <m/>
  </r>
  <r>
    <n v="209"/>
    <x v="6"/>
    <x v="71"/>
    <s v="Application Knowledge Transfer / Training / Transition"/>
    <m/>
  </r>
  <r>
    <n v="210"/>
    <x v="6"/>
    <x v="72"/>
    <s v="Continuous improvements / Service improvements"/>
    <m/>
  </r>
  <r>
    <n v="211"/>
    <x v="6"/>
    <x v="73"/>
    <s v="Change management/ Deployment"/>
    <m/>
  </r>
  <r>
    <n v="212"/>
    <x v="6"/>
    <x v="74"/>
    <s v="Resource Onboarding &amp; infrastructure"/>
    <m/>
  </r>
  <r>
    <m/>
    <x v="6"/>
    <x v="75"/>
    <m/>
    <m/>
  </r>
  <r>
    <m/>
    <x v="7"/>
    <x v="76"/>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FA60DD-1818-4476-904B-CD4EEB9D8CCF}" name="PivotTable6" cacheId="1"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gridDropZones="1" multipleFieldFilters="0">
  <location ref="BP4:BQ12" firstHeaderRow="2" firstDataRow="2" firstDataCol="1"/>
  <pivotFields count="5">
    <pivotField compact="0" outline="0" showAll="0"/>
    <pivotField axis="axisRow" compact="0" outline="0" multipleItemSelectionAllowed="1" showAll="0">
      <items count="10">
        <item x="1"/>
        <item x="0"/>
        <item m="1" x="8"/>
        <item x="3"/>
        <item x="2"/>
        <item h="1" x="7"/>
        <item x="4"/>
        <item x="5"/>
        <item x="6"/>
        <item t="default"/>
      </items>
    </pivotField>
    <pivotField compact="0" outline="0" showAll="0"/>
    <pivotField dataField="1" compact="0" outline="0" showAll="0"/>
    <pivotField compact="0" outline="0" subtotalTop="0" showAll="0"/>
  </pivotFields>
  <rowFields count="1">
    <field x="1"/>
  </rowFields>
  <rowItems count="7">
    <i>
      <x/>
    </i>
    <i>
      <x v="1"/>
    </i>
    <i>
      <x v="3"/>
    </i>
    <i>
      <x v="4"/>
    </i>
    <i>
      <x v="6"/>
    </i>
    <i>
      <x v="7"/>
    </i>
    <i>
      <x v="8"/>
    </i>
  </rowItems>
  <colItems count="1">
    <i/>
  </colItems>
  <dataFields count="1">
    <dataField name="Count of Sub Activity"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F92DED1-7F04-495C-97DF-101F97B57F4B}"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gridDropZones="1" multipleFieldFilters="0">
  <location ref="BY4:BZ13" firstHeaderRow="2" firstDataRow="2" firstDataCol="1" rowPageCount="1" colPageCount="1"/>
  <pivotFields count="5">
    <pivotField compact="0" outline="0" showAll="0"/>
    <pivotField axis="axisPage" compact="0" outline="0" multipleItemSelectionAllowed="1" showAll="0">
      <items count="9">
        <item h="1" x="1"/>
        <item h="1" x="0"/>
        <item h="1" m="1" x="7"/>
        <item h="1" x="3"/>
        <item x="2"/>
        <item h="1" x="6"/>
        <item h="1" x="4"/>
        <item h="1" x="5"/>
        <item t="default"/>
      </items>
    </pivotField>
    <pivotField axis="axisRow" compact="0" outline="0" showAll="0">
      <items count="81">
        <item x="18"/>
        <item m="1" x="59"/>
        <item x="40"/>
        <item x="36"/>
        <item x="33"/>
        <item m="1" x="57"/>
        <item x="41"/>
        <item m="1" x="60"/>
        <item x="34"/>
        <item x="35"/>
        <item m="1" x="69"/>
        <item x="43"/>
        <item m="1" x="65"/>
        <item m="1" x="74"/>
        <item x="29"/>
        <item x="42"/>
        <item x="22"/>
        <item x="23"/>
        <item x="20"/>
        <item x="21"/>
        <item x="30"/>
        <item x="54"/>
        <item m="1" x="78"/>
        <item x="5"/>
        <item m="1" x="58"/>
        <item x="7"/>
        <item m="1" x="61"/>
        <item m="1" x="76"/>
        <item x="11"/>
        <item m="1" x="55"/>
        <item x="13"/>
        <item m="1" x="68"/>
        <item m="1" x="79"/>
        <item m="1" x="64"/>
        <item m="1" x="62"/>
        <item x="27"/>
        <item m="1" x="72"/>
        <item m="1" x="70"/>
        <item m="1" x="73"/>
        <item x="12"/>
        <item x="14"/>
        <item m="1" x="63"/>
        <item x="16"/>
        <item x="19"/>
        <item m="1" x="67"/>
        <item x="0"/>
        <item x="1"/>
        <item x="2"/>
        <item m="1" x="71"/>
        <item x="4"/>
        <item m="1" x="56"/>
        <item x="9"/>
        <item m="1" x="77"/>
        <item x="10"/>
        <item m="1" x="66"/>
        <item x="24"/>
        <item x="28"/>
        <item m="1" x="75"/>
        <item x="37"/>
        <item x="38"/>
        <item x="39"/>
        <item x="3"/>
        <item x="6"/>
        <item x="8"/>
        <item x="15"/>
        <item x="17"/>
        <item x="25"/>
        <item x="26"/>
        <item x="31"/>
        <item x="32"/>
        <item x="44"/>
        <item x="45"/>
        <item x="46"/>
        <item x="47"/>
        <item x="48"/>
        <item x="49"/>
        <item x="50"/>
        <item x="51"/>
        <item x="52"/>
        <item x="53"/>
        <item t="default"/>
      </items>
    </pivotField>
    <pivotField dataField="1" compact="0" outline="0" showAll="0"/>
    <pivotField compact="0" outline="0" subtotalTop="0" showAll="0"/>
  </pivotFields>
  <rowFields count="1">
    <field x="2"/>
  </rowFields>
  <rowItems count="8">
    <i>
      <x v="16"/>
    </i>
    <i>
      <x v="17"/>
    </i>
    <i>
      <x v="18"/>
    </i>
    <i>
      <x v="19"/>
    </i>
    <i>
      <x v="28"/>
    </i>
    <i>
      <x v="55"/>
    </i>
    <i>
      <x v="66"/>
    </i>
    <i>
      <x v="67"/>
    </i>
  </rowItems>
  <colItems count="1">
    <i/>
  </colItems>
  <pageFields count="1">
    <pageField fld="1" hier="-1"/>
  </pageFields>
  <dataFields count="1">
    <dataField name="Count of Sub Activity"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C82487-8FDC-4414-A4A4-D0700A5578B2}" name="PivotTable1" cacheId="1"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gridDropZones="1" multipleFieldFilters="0">
  <location ref="CB4:CC11" firstHeaderRow="2" firstDataRow="2" firstDataCol="1" rowPageCount="1" colPageCount="1"/>
  <pivotFields count="5">
    <pivotField compact="0" outline="0" showAll="0"/>
    <pivotField axis="axisPage" compact="0" outline="0" multipleItemSelectionAllowed="1" showAll="0">
      <items count="10">
        <item h="1" x="1"/>
        <item h="1" x="0"/>
        <item m="1" x="8"/>
        <item h="1" x="3"/>
        <item h="1" x="2"/>
        <item h="1" x="7"/>
        <item x="4"/>
        <item h="1" x="5"/>
        <item h="1" x="6"/>
        <item t="default"/>
      </items>
    </pivotField>
    <pivotField axis="axisRow" compact="0" outline="0" showAll="0">
      <items count="134">
        <item m="1" x="128"/>
        <item m="1" x="92"/>
        <item m="1" x="91"/>
        <item x="27"/>
        <item x="9"/>
        <item x="13"/>
        <item x="40"/>
        <item m="1" x="131"/>
        <item x="7"/>
        <item x="36"/>
        <item x="33"/>
        <item x="44"/>
        <item m="1" x="78"/>
        <item m="1" x="106"/>
        <item m="1" x="82"/>
        <item x="10"/>
        <item x="41"/>
        <item x="32"/>
        <item m="1" x="126"/>
        <item x="25"/>
        <item m="1" x="95"/>
        <item x="26"/>
        <item m="1" x="109"/>
        <item x="19"/>
        <item x="34"/>
        <item x="46"/>
        <item x="8"/>
        <item m="1" x="81"/>
        <item x="14"/>
        <item m="1" x="112"/>
        <item m="1" x="107"/>
        <item x="16"/>
        <item x="35"/>
        <item m="1" x="97"/>
        <item x="37"/>
        <item m="1" x="121"/>
        <item x="17"/>
        <item x="5"/>
        <item m="1" x="90"/>
        <item x="11"/>
        <item m="1" x="113"/>
        <item m="1" x="114"/>
        <item x="31"/>
        <item x="38"/>
        <item m="1" x="101"/>
        <item x="4"/>
        <item x="43"/>
        <item m="1" x="108"/>
        <item m="1" x="89"/>
        <item m="1" x="122"/>
        <item m="1" x="110"/>
        <item m="1" x="123"/>
        <item m="1" x="77"/>
        <item x="12"/>
        <item x="28"/>
        <item x="29"/>
        <item x="24"/>
        <item x="42"/>
        <item m="1" x="127"/>
        <item x="6"/>
        <item x="22"/>
        <item x="23"/>
        <item x="20"/>
        <item x="21"/>
        <item x="2"/>
        <item x="0"/>
        <item x="1"/>
        <item m="1" x="119"/>
        <item x="3"/>
        <item m="1" x="130"/>
        <item x="45"/>
        <item x="47"/>
        <item x="30"/>
        <item x="76"/>
        <item x="49"/>
        <item x="50"/>
        <item x="51"/>
        <item x="52"/>
        <item x="53"/>
        <item x="54"/>
        <item m="1" x="100"/>
        <item m="1" x="80"/>
        <item m="1" x="125"/>
        <item m="1" x="93"/>
        <item m="1" x="115"/>
        <item m="1" x="86"/>
        <item m="1" x="87"/>
        <item m="1" x="117"/>
        <item m="1" x="88"/>
        <item m="1" x="116"/>
        <item m="1" x="85"/>
        <item m="1" x="132"/>
        <item m="1" x="103"/>
        <item m="1" x="94"/>
        <item m="1" x="79"/>
        <item m="1" x="124"/>
        <item m="1" x="104"/>
        <item m="1" x="96"/>
        <item m="1" x="129"/>
        <item m="1" x="118"/>
        <item m="1" x="111"/>
        <item m="1" x="98"/>
        <item m="1" x="84"/>
        <item m="1" x="102"/>
        <item m="1" x="99"/>
        <item m="1" x="83"/>
        <item m="1" x="105"/>
        <item x="15"/>
        <item x="18"/>
        <item x="39"/>
        <item x="55"/>
        <item x="56"/>
        <item m="1" x="120"/>
        <item x="57"/>
        <item x="58"/>
        <item x="59"/>
        <item x="60"/>
        <item x="61"/>
        <item x="62"/>
        <item x="63"/>
        <item x="64"/>
        <item x="65"/>
        <item x="66"/>
        <item x="67"/>
        <item x="68"/>
        <item x="69"/>
        <item x="70"/>
        <item x="71"/>
        <item x="72"/>
        <item x="73"/>
        <item x="74"/>
        <item x="75"/>
        <item x="48"/>
        <item t="default"/>
      </items>
    </pivotField>
    <pivotField dataField="1" compact="0" outline="0" showAll="0" sortType="descending">
      <autoSortScope>
        <pivotArea dataOnly="0" outline="0" fieldPosition="0">
          <references count="1">
            <reference field="4294967294" count="1" selected="0">
              <x v="0"/>
            </reference>
          </references>
        </pivotArea>
      </autoSortScope>
    </pivotField>
    <pivotField compact="0" outline="0" subtotalTop="0" showAll="0"/>
  </pivotFields>
  <rowFields count="1">
    <field x="2"/>
  </rowFields>
  <rowItems count="6">
    <i>
      <x v="11"/>
    </i>
    <i>
      <x v="25"/>
    </i>
    <i>
      <x v="39"/>
    </i>
    <i>
      <x v="70"/>
    </i>
    <i>
      <x v="71"/>
    </i>
    <i>
      <x v="132"/>
    </i>
  </rowItems>
  <colItems count="1">
    <i/>
  </colItems>
  <pageFields count="1">
    <pageField fld="1" hier="-1"/>
  </pageFields>
  <dataFields count="1">
    <dataField name="Count of Sub Activity"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20FB66-4004-44A8-A44D-DAA379965E1F}" name="PivotTable8" cacheId="1"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gridDropZones="1" multipleFieldFilters="0">
  <location ref="CQ4:CR24" firstHeaderRow="2" firstDataRow="2" firstDataCol="1" rowPageCount="1" colPageCount="1"/>
  <pivotFields count="5">
    <pivotField compact="0" outline="0" showAll="0"/>
    <pivotField axis="axisPage" compact="0" outline="0" multipleItemSelectionAllowed="1" showAll="0">
      <items count="10">
        <item h="1" x="1"/>
        <item h="1" x="0"/>
        <item h="1" x="2"/>
        <item h="1" x="3"/>
        <item h="1" m="1" x="8"/>
        <item h="1" x="7"/>
        <item h="1" x="4"/>
        <item h="1" x="5"/>
        <item x="6"/>
        <item t="default"/>
      </items>
    </pivotField>
    <pivotField axis="axisRow" compact="0" outline="0" showAll="0" sortType="ascending">
      <items count="134">
        <item m="1" x="128"/>
        <item m="1" x="92"/>
        <item m="1" x="91"/>
        <item x="27"/>
        <item x="9"/>
        <item x="13"/>
        <item x="40"/>
        <item m="1" x="131"/>
        <item x="7"/>
        <item x="36"/>
        <item x="33"/>
        <item x="44"/>
        <item x="15"/>
        <item m="1" x="78"/>
        <item m="1" x="106"/>
        <item m="1" x="82"/>
        <item x="10"/>
        <item x="41"/>
        <item x="32"/>
        <item m="1" x="126"/>
        <item x="25"/>
        <item m="1" x="95"/>
        <item x="26"/>
        <item m="1" x="109"/>
        <item x="19"/>
        <item x="34"/>
        <item x="46"/>
        <item x="8"/>
        <item m="1" x="81"/>
        <item x="14"/>
        <item m="1" x="112"/>
        <item x="50"/>
        <item m="1" x="87"/>
        <item m="1" x="115"/>
        <item m="1" x="93"/>
        <item m="1" x="117"/>
        <item m="1" x="86"/>
        <item m="1" x="88"/>
        <item m="1" x="107"/>
        <item x="16"/>
        <item x="35"/>
        <item m="1" x="97"/>
        <item x="37"/>
        <item m="1" x="121"/>
        <item x="17"/>
        <item x="5"/>
        <item m="1" x="90"/>
        <item m="1" x="120"/>
        <item x="11"/>
        <item x="48"/>
        <item m="1" x="113"/>
        <item m="1" x="114"/>
        <item x="31"/>
        <item x="38"/>
        <item m="1" x="101"/>
        <item x="49"/>
        <item m="1" x="125"/>
        <item m="1" x="100"/>
        <item m="1" x="80"/>
        <item x="4"/>
        <item x="43"/>
        <item m="1" x="108"/>
        <item m="1" x="89"/>
        <item m="1" x="122"/>
        <item x="39"/>
        <item x="54"/>
        <item m="1" x="99"/>
        <item m="1" x="83"/>
        <item m="1" x="102"/>
        <item m="1" x="105"/>
        <item m="1" x="110"/>
        <item m="1" x="123"/>
        <item m="1" x="77"/>
        <item x="12"/>
        <item x="56"/>
        <item x="28"/>
        <item x="29"/>
        <item x="24"/>
        <item x="42"/>
        <item m="1" x="127"/>
        <item x="55"/>
        <item x="52"/>
        <item m="1" x="124"/>
        <item m="1" x="96"/>
        <item m="1" x="129"/>
        <item m="1" x="79"/>
        <item m="1" x="94"/>
        <item m="1" x="104"/>
        <item m="1" x="103"/>
        <item m="1" x="98"/>
        <item m="1" x="118"/>
        <item m="1" x="111"/>
        <item x="51"/>
        <item m="1" x="132"/>
        <item m="1" x="85"/>
        <item m="1" x="116"/>
        <item x="53"/>
        <item m="1" x="84"/>
        <item x="6"/>
        <item x="22"/>
        <item x="23"/>
        <item x="20"/>
        <item x="21"/>
        <item x="2"/>
        <item x="0"/>
        <item x="1"/>
        <item m="1" x="119"/>
        <item x="3"/>
        <item m="1" x="130"/>
        <item x="71"/>
        <item x="58"/>
        <item x="73"/>
        <item x="72"/>
        <item x="64"/>
        <item x="61"/>
        <item x="69"/>
        <item x="59"/>
        <item x="62"/>
        <item x="75"/>
        <item x="70"/>
        <item x="57"/>
        <item x="74"/>
        <item x="65"/>
        <item x="66"/>
        <item x="63"/>
        <item x="68"/>
        <item x="67"/>
        <item x="60"/>
        <item x="45"/>
        <item x="47"/>
        <item x="18"/>
        <item x="30"/>
        <item x="76"/>
        <item t="default"/>
      </items>
    </pivotField>
    <pivotField dataField="1" compact="0" outline="0" showAll="0"/>
    <pivotField compact="0" outline="0" subtotalTop="0" showAll="0"/>
  </pivotFields>
  <rowFields count="1">
    <field x="2"/>
  </rowFields>
  <rowItems count="19">
    <i>
      <x v="109"/>
    </i>
    <i>
      <x v="110"/>
    </i>
    <i>
      <x v="111"/>
    </i>
    <i>
      <x v="112"/>
    </i>
    <i>
      <x v="113"/>
    </i>
    <i>
      <x v="114"/>
    </i>
    <i>
      <x v="115"/>
    </i>
    <i>
      <x v="116"/>
    </i>
    <i>
      <x v="117"/>
    </i>
    <i>
      <x v="118"/>
    </i>
    <i>
      <x v="119"/>
    </i>
    <i>
      <x v="120"/>
    </i>
    <i>
      <x v="121"/>
    </i>
    <i>
      <x v="122"/>
    </i>
    <i>
      <x v="123"/>
    </i>
    <i>
      <x v="124"/>
    </i>
    <i>
      <x v="125"/>
    </i>
    <i>
      <x v="126"/>
    </i>
    <i>
      <x v="127"/>
    </i>
  </rowItems>
  <colItems count="1">
    <i/>
  </colItems>
  <pageFields count="1">
    <pageField fld="1" hier="-1"/>
  </pageFields>
  <dataFields count="1">
    <dataField name="Count of Sub Activity"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EDBDD34-B492-499F-A792-AAAB5A51B82C}" name="PivotTable5" cacheId="1"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gridDropZones="1" multipleFieldFilters="0">
  <location ref="CE4:CF24" firstHeaderRow="2" firstDataRow="2" firstDataCol="1" rowPageCount="1" colPageCount="1"/>
  <pivotFields count="5">
    <pivotField compact="0" outline="0" showAll="0"/>
    <pivotField axis="axisPage" compact="0" outline="0" multipleItemSelectionAllowed="1" showAll="0">
      <items count="10">
        <item h="1" x="1"/>
        <item h="1" x="0"/>
        <item h="1" x="2"/>
        <item x="3"/>
        <item h="1" m="1" x="8"/>
        <item h="1" x="7"/>
        <item h="1" x="4"/>
        <item h="1" x="5"/>
        <item h="1" x="6"/>
        <item t="default"/>
      </items>
    </pivotField>
    <pivotField axis="axisRow" compact="0" outline="0" showAll="0" sortType="descending">
      <items count="134">
        <item m="1" x="92"/>
        <item m="1" x="91"/>
        <item x="13"/>
        <item x="40"/>
        <item m="1" x="131"/>
        <item x="7"/>
        <item x="36"/>
        <item x="33"/>
        <item m="1" x="82"/>
        <item x="41"/>
        <item m="1" x="95"/>
        <item x="34"/>
        <item m="1" x="112"/>
        <item m="1" x="107"/>
        <item x="35"/>
        <item m="1" x="97"/>
        <item x="5"/>
        <item m="1" x="90"/>
        <item m="1" x="113"/>
        <item m="1" x="101"/>
        <item x="43"/>
        <item m="1" x="108"/>
        <item m="1" x="123"/>
        <item m="1" x="77"/>
        <item x="29"/>
        <item x="42"/>
        <item m="1" x="127"/>
        <item x="22"/>
        <item x="23"/>
        <item x="20"/>
        <item x="21"/>
        <item m="1" x="130"/>
        <item x="30"/>
        <item x="76"/>
        <item x="11"/>
        <item x="27"/>
        <item m="1" x="121"/>
        <item m="1" x="114"/>
        <item m="1" x="122"/>
        <item x="12"/>
        <item x="14"/>
        <item m="1" x="106"/>
        <item x="16"/>
        <item x="19"/>
        <item m="1" x="110"/>
        <item x="0"/>
        <item x="1"/>
        <item x="2"/>
        <item m="1" x="119"/>
        <item x="4"/>
        <item m="1" x="81"/>
        <item x="9"/>
        <item m="1" x="128"/>
        <item x="10"/>
        <item m="1" x="109"/>
        <item x="24"/>
        <item x="28"/>
        <item m="1" x="126"/>
        <item x="37"/>
        <item x="38"/>
        <item m="1" x="89"/>
        <item x="3"/>
        <item x="6"/>
        <item x="8"/>
        <item m="1" x="78"/>
        <item x="17"/>
        <item x="25"/>
        <item x="26"/>
        <item x="31"/>
        <item x="32"/>
        <item x="44"/>
        <item x="45"/>
        <item x="46"/>
        <item x="47"/>
        <item x="49"/>
        <item x="50"/>
        <item x="51"/>
        <item x="52"/>
        <item x="53"/>
        <item x="54"/>
        <item m="1" x="100"/>
        <item m="1" x="80"/>
        <item m="1" x="125"/>
        <item m="1" x="93"/>
        <item m="1" x="115"/>
        <item m="1" x="86"/>
        <item m="1" x="87"/>
        <item m="1" x="117"/>
        <item m="1" x="88"/>
        <item m="1" x="116"/>
        <item m="1" x="85"/>
        <item m="1" x="132"/>
        <item m="1" x="103"/>
        <item m="1" x="94"/>
        <item m="1" x="79"/>
        <item m="1" x="124"/>
        <item m="1" x="104"/>
        <item m="1" x="96"/>
        <item m="1" x="129"/>
        <item m="1" x="118"/>
        <item m="1" x="111"/>
        <item m="1" x="98"/>
        <item m="1" x="84"/>
        <item m="1" x="102"/>
        <item m="1" x="99"/>
        <item m="1" x="83"/>
        <item m="1" x="105"/>
        <item x="15"/>
        <item x="18"/>
        <item x="39"/>
        <item x="55"/>
        <item x="56"/>
        <item m="1" x="120"/>
        <item x="57"/>
        <item x="58"/>
        <item x="59"/>
        <item x="60"/>
        <item x="61"/>
        <item x="62"/>
        <item x="63"/>
        <item x="64"/>
        <item x="65"/>
        <item x="66"/>
        <item x="67"/>
        <item x="68"/>
        <item x="69"/>
        <item x="70"/>
        <item x="71"/>
        <item x="72"/>
        <item x="73"/>
        <item x="74"/>
        <item x="75"/>
        <item x="48"/>
        <item t="default"/>
      </items>
      <autoSortScope>
        <pivotArea dataOnly="0" outline="0" fieldPosition="0">
          <references count="1">
            <reference field="4294967294" count="1" selected="0">
              <x v="0"/>
            </reference>
          </references>
        </pivotArea>
      </autoSortScope>
    </pivotField>
    <pivotField dataField="1" compact="0" outline="0" showAll="0"/>
    <pivotField compact="0" outline="0" subtotalTop="0" showAll="0"/>
  </pivotFields>
  <rowFields count="1">
    <field x="2"/>
  </rowFields>
  <rowItems count="19">
    <i>
      <x v="20"/>
    </i>
    <i>
      <x v="109"/>
    </i>
    <i>
      <x v="59"/>
    </i>
    <i>
      <x v="6"/>
    </i>
    <i>
      <x v="11"/>
    </i>
    <i>
      <x v="14"/>
    </i>
    <i>
      <x v="24"/>
    </i>
    <i>
      <x v="7"/>
    </i>
    <i>
      <x v="25"/>
    </i>
    <i>
      <x v="68"/>
    </i>
    <i>
      <x v="3"/>
    </i>
    <i>
      <x v="35"/>
    </i>
    <i>
      <x v="32"/>
    </i>
    <i>
      <x v="58"/>
    </i>
    <i>
      <x v="110"/>
    </i>
    <i>
      <x v="56"/>
    </i>
    <i>
      <x v="69"/>
    </i>
    <i>
      <x v="9"/>
    </i>
    <i>
      <x v="34"/>
    </i>
  </rowItems>
  <colItems count="1">
    <i/>
  </colItems>
  <pageFields count="1">
    <pageField fld="1" hier="-1"/>
  </pageFields>
  <dataFields count="1">
    <dataField name="Count of Sub Activity"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647DB1F-7FC6-4602-B018-52471D176597}" name="PivotTable4" cacheId="1"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gridDropZones="1" multipleFieldFilters="0">
  <location ref="BS4:BT14" firstHeaderRow="2" firstDataRow="2" firstDataCol="1" rowPageCount="1" colPageCount="1"/>
  <pivotFields count="5">
    <pivotField compact="0" outline="0" showAll="0"/>
    <pivotField axis="axisPage" compact="0" outline="0" multipleItemSelectionAllowed="1" showAll="0">
      <items count="10">
        <item x="1"/>
        <item h="1" x="0"/>
        <item h="1" m="1" x="8"/>
        <item h="1" x="3"/>
        <item h="1" x="2"/>
        <item h="1" x="7"/>
        <item h="1" x="4"/>
        <item h="1" x="5"/>
        <item h="1" x="6"/>
        <item t="default"/>
      </items>
    </pivotField>
    <pivotField axis="axisRow" compact="0" outline="0" showAll="0">
      <items count="134">
        <item n="Acceptance And Installation" m="1" x="92"/>
        <item m="1" x="91"/>
        <item x="13"/>
        <item x="40"/>
        <item m="1" x="131"/>
        <item x="7"/>
        <item x="36"/>
        <item x="33"/>
        <item m="1" x="82"/>
        <item x="41"/>
        <item m="1" x="95"/>
        <item x="34"/>
        <item m="1" x="112"/>
        <item m="1" x="107"/>
        <item x="35"/>
        <item m="1" x="97"/>
        <item x="5"/>
        <item m="1" x="90"/>
        <item m="1" x="113"/>
        <item m="1" x="101"/>
        <item x="43"/>
        <item m="1" x="108"/>
        <item m="1" x="123"/>
        <item m="1" x="77"/>
        <item x="29"/>
        <item x="42"/>
        <item m="1" x="127"/>
        <item x="22"/>
        <item x="23"/>
        <item x="20"/>
        <item x="21"/>
        <item m="1" x="130"/>
        <item x="30"/>
        <item x="76"/>
        <item x="11"/>
        <item x="27"/>
        <item m="1" x="121"/>
        <item m="1" x="114"/>
        <item m="1" x="122"/>
        <item x="12"/>
        <item x="14"/>
        <item m="1" x="106"/>
        <item x="16"/>
        <item x="19"/>
        <item m="1" x="110"/>
        <item x="0"/>
        <item x="1"/>
        <item x="2"/>
        <item m="1" x="119"/>
        <item x="4"/>
        <item m="1" x="81"/>
        <item x="9"/>
        <item m="1" x="128"/>
        <item x="10"/>
        <item m="1" x="109"/>
        <item x="24"/>
        <item x="28"/>
        <item m="1" x="126"/>
        <item x="37"/>
        <item x="38"/>
        <item m="1" x="89"/>
        <item x="3"/>
        <item x="6"/>
        <item x="8"/>
        <item m="1" x="78"/>
        <item x="17"/>
        <item x="25"/>
        <item x="26"/>
        <item x="31"/>
        <item x="32"/>
        <item x="44"/>
        <item x="45"/>
        <item x="46"/>
        <item x="47"/>
        <item x="49"/>
        <item x="50"/>
        <item x="51"/>
        <item x="52"/>
        <item x="53"/>
        <item x="54"/>
        <item m="1" x="100"/>
        <item m="1" x="80"/>
        <item m="1" x="125"/>
        <item m="1" x="93"/>
        <item m="1" x="115"/>
        <item m="1" x="86"/>
        <item m="1" x="87"/>
        <item m="1" x="117"/>
        <item m="1" x="88"/>
        <item m="1" x="116"/>
        <item m="1" x="85"/>
        <item m="1" x="132"/>
        <item m="1" x="103"/>
        <item m="1" x="94"/>
        <item m="1" x="79"/>
        <item m="1" x="124"/>
        <item m="1" x="104"/>
        <item m="1" x="96"/>
        <item m="1" x="129"/>
        <item m="1" x="118"/>
        <item m="1" x="111"/>
        <item m="1" x="98"/>
        <item m="1" x="84"/>
        <item m="1" x="102"/>
        <item m="1" x="99"/>
        <item m="1" x="83"/>
        <item m="1" x="105"/>
        <item x="15"/>
        <item x="18"/>
        <item x="39"/>
        <item x="55"/>
        <item x="56"/>
        <item m="1" x="120"/>
        <item x="57"/>
        <item x="58"/>
        <item x="59"/>
        <item x="60"/>
        <item x="61"/>
        <item x="62"/>
        <item x="63"/>
        <item x="64"/>
        <item x="65"/>
        <item x="66"/>
        <item x="67"/>
        <item x="68"/>
        <item x="69"/>
        <item x="70"/>
        <item x="71"/>
        <item x="72"/>
        <item x="73"/>
        <item x="74"/>
        <item x="75"/>
        <item x="48"/>
        <item t="default"/>
      </items>
    </pivotField>
    <pivotField dataField="1" compact="0" outline="0" showAll="0"/>
    <pivotField compact="0" outline="0" subtotalTop="0" showAll="0"/>
  </pivotFields>
  <rowFields count="1">
    <field x="2"/>
  </rowFields>
  <rowItems count="9">
    <i>
      <x v="2"/>
    </i>
    <i>
      <x v="34"/>
    </i>
    <i>
      <x v="39"/>
    </i>
    <i>
      <x v="40"/>
    </i>
    <i>
      <x v="42"/>
    </i>
    <i>
      <x v="43"/>
    </i>
    <i>
      <x v="65"/>
    </i>
    <i>
      <x v="107"/>
    </i>
    <i>
      <x v="108"/>
    </i>
  </rowItems>
  <colItems count="1">
    <i/>
  </colItems>
  <pageFields count="1">
    <pageField fld="1" hier="-1"/>
  </pageFields>
  <dataFields count="1">
    <dataField name="Count of Sub Activity"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7FE403-C030-4AE3-9052-9DD48B1A1B4F}" name="PivotTable3" cacheId="1"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gridDropZones="1" multipleFieldFilters="0">
  <location ref="BV4:BW18" firstHeaderRow="2" firstDataRow="2" firstDataCol="1" rowPageCount="1" colPageCount="1"/>
  <pivotFields count="5">
    <pivotField compact="0" outline="0" showAll="0"/>
    <pivotField axis="axisPage" compact="0" outline="0" multipleItemSelectionAllowed="1" showAll="0">
      <items count="10">
        <item h="1" x="1"/>
        <item x="0"/>
        <item h="1" m="1" x="8"/>
        <item h="1" x="3"/>
        <item h="1" x="2"/>
        <item h="1" x="7"/>
        <item h="1" x="4"/>
        <item h="1" x="5"/>
        <item h="1" x="6"/>
        <item t="default"/>
      </items>
    </pivotField>
    <pivotField axis="axisRow" compact="0" outline="0" showAll="0">
      <items count="134">
        <item m="1" x="92"/>
        <item m="1" x="91"/>
        <item x="13"/>
        <item x="40"/>
        <item m="1" x="131"/>
        <item x="7"/>
        <item x="36"/>
        <item x="33"/>
        <item m="1" x="82"/>
        <item x="41"/>
        <item m="1" x="95"/>
        <item x="34"/>
        <item m="1" x="112"/>
        <item m="1" x="107"/>
        <item x="35"/>
        <item m="1" x="97"/>
        <item x="5"/>
        <item m="1" x="90"/>
        <item m="1" x="113"/>
        <item m="1" x="101"/>
        <item x="43"/>
        <item m="1" x="108"/>
        <item m="1" x="123"/>
        <item m="1" x="77"/>
        <item x="29"/>
        <item x="42"/>
        <item m="1" x="127"/>
        <item x="22"/>
        <item x="23"/>
        <item x="20"/>
        <item x="21"/>
        <item m="1" x="130"/>
        <item x="30"/>
        <item x="76"/>
        <item x="11"/>
        <item x="27"/>
        <item m="1" x="121"/>
        <item m="1" x="114"/>
        <item m="1" x="122"/>
        <item x="12"/>
        <item x="14"/>
        <item m="1" x="106"/>
        <item x="16"/>
        <item x="19"/>
        <item m="1" x="110"/>
        <item x="0"/>
        <item x="1"/>
        <item x="2"/>
        <item m="1" x="119"/>
        <item x="4"/>
        <item m="1" x="81"/>
        <item x="9"/>
        <item m="1" x="128"/>
        <item x="10"/>
        <item m="1" x="109"/>
        <item x="24"/>
        <item x="28"/>
        <item m="1" x="126"/>
        <item x="37"/>
        <item x="38"/>
        <item m="1" x="89"/>
        <item x="3"/>
        <item x="6"/>
        <item x="8"/>
        <item m="1" x="78"/>
        <item x="17"/>
        <item x="25"/>
        <item x="26"/>
        <item x="31"/>
        <item x="32"/>
        <item x="44"/>
        <item x="45"/>
        <item x="46"/>
        <item x="47"/>
        <item x="49"/>
        <item x="50"/>
        <item x="51"/>
        <item x="52"/>
        <item x="53"/>
        <item x="54"/>
        <item m="1" x="100"/>
        <item m="1" x="80"/>
        <item m="1" x="125"/>
        <item m="1" x="93"/>
        <item m="1" x="115"/>
        <item m="1" x="86"/>
        <item m="1" x="87"/>
        <item m="1" x="117"/>
        <item m="1" x="88"/>
        <item m="1" x="116"/>
        <item m="1" x="85"/>
        <item m="1" x="132"/>
        <item m="1" x="103"/>
        <item m="1" x="94"/>
        <item m="1" x="79"/>
        <item m="1" x="124"/>
        <item m="1" x="104"/>
        <item m="1" x="96"/>
        <item m="1" x="129"/>
        <item m="1" x="118"/>
        <item m="1" x="111"/>
        <item m="1" x="98"/>
        <item m="1" x="84"/>
        <item m="1" x="102"/>
        <item m="1" x="99"/>
        <item m="1" x="83"/>
        <item m="1" x="105"/>
        <item x="15"/>
        <item x="18"/>
        <item x="39"/>
        <item x="55"/>
        <item x="56"/>
        <item m="1" x="120"/>
        <item x="57"/>
        <item x="58"/>
        <item x="59"/>
        <item x="60"/>
        <item x="61"/>
        <item x="62"/>
        <item x="63"/>
        <item x="64"/>
        <item x="65"/>
        <item x="66"/>
        <item x="67"/>
        <item x="68"/>
        <item x="69"/>
        <item x="70"/>
        <item x="71"/>
        <item x="72"/>
        <item x="73"/>
        <item x="74"/>
        <item x="75"/>
        <item x="48"/>
        <item t="default"/>
      </items>
    </pivotField>
    <pivotField dataField="1" compact="0" outline="0" showAll="0"/>
    <pivotField compact="0" outline="0" subtotalTop="0" showAll="0"/>
  </pivotFields>
  <rowFields count="1">
    <field x="2"/>
  </rowFields>
  <rowItems count="13">
    <i>
      <x v="5"/>
    </i>
    <i>
      <x v="16"/>
    </i>
    <i>
      <x v="34"/>
    </i>
    <i>
      <x v="45"/>
    </i>
    <i>
      <x v="46"/>
    </i>
    <i>
      <x v="47"/>
    </i>
    <i>
      <x v="49"/>
    </i>
    <i>
      <x v="51"/>
    </i>
    <i>
      <x v="53"/>
    </i>
    <i>
      <x v="61"/>
    </i>
    <i>
      <x v="62"/>
    </i>
    <i>
      <x v="63"/>
    </i>
    <i>
      <x v="111"/>
    </i>
  </rowItems>
  <colItems count="1">
    <i/>
  </colItems>
  <pageFields count="1">
    <pageField fld="1" hier="-1"/>
  </pageFields>
  <dataFields count="1">
    <dataField name="Count of Sub Activity"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F7F6CA-AA31-4F69-A457-389C913CE200}" name="PivotTable7" cacheId="1"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gridDropZones="1" multipleFieldFilters="0">
  <location ref="CM4:CN11" firstHeaderRow="2" firstDataRow="2" firstDataCol="1" rowPageCount="1" colPageCount="1"/>
  <pivotFields count="5">
    <pivotField compact="0" outline="0" showAll="0"/>
    <pivotField axis="axisPage" compact="0" outline="0" multipleItemSelectionAllowed="1" showAll="0">
      <items count="10">
        <item h="1" x="1"/>
        <item h="1" x="0"/>
        <item h="1" x="2"/>
        <item h="1" x="3"/>
        <item h="1" m="1" x="8"/>
        <item h="1" x="7"/>
        <item h="1" x="4"/>
        <item x="5"/>
        <item h="1" x="6"/>
        <item t="default"/>
      </items>
    </pivotField>
    <pivotField axis="axisRow" compact="0" outline="0" showAll="0" sortType="ascending">
      <items count="134">
        <item m="1" x="128"/>
        <item m="1" x="92"/>
        <item m="1" x="91"/>
        <item x="27"/>
        <item x="9"/>
        <item x="13"/>
        <item x="40"/>
        <item m="1" x="131"/>
        <item x="7"/>
        <item x="36"/>
        <item x="33"/>
        <item x="44"/>
        <item x="15"/>
        <item m="1" x="78"/>
        <item m="1" x="106"/>
        <item m="1" x="82"/>
        <item x="10"/>
        <item x="41"/>
        <item x="32"/>
        <item m="1" x="126"/>
        <item x="25"/>
        <item m="1" x="95"/>
        <item x="26"/>
        <item m="1" x="109"/>
        <item x="19"/>
        <item x="34"/>
        <item x="46"/>
        <item x="8"/>
        <item m="1" x="81"/>
        <item x="14"/>
        <item m="1" x="112"/>
        <item x="50"/>
        <item m="1" x="87"/>
        <item m="1" x="115"/>
        <item m="1" x="93"/>
        <item m="1" x="117"/>
        <item m="1" x="86"/>
        <item m="1" x="88"/>
        <item m="1" x="107"/>
        <item x="16"/>
        <item x="35"/>
        <item m="1" x="97"/>
        <item x="37"/>
        <item m="1" x="121"/>
        <item x="17"/>
        <item x="5"/>
        <item m="1" x="90"/>
        <item m="1" x="120"/>
        <item x="11"/>
        <item x="48"/>
        <item m="1" x="113"/>
        <item m="1" x="114"/>
        <item x="31"/>
        <item x="38"/>
        <item m="1" x="101"/>
        <item x="49"/>
        <item m="1" x="125"/>
        <item m="1" x="100"/>
        <item m="1" x="80"/>
        <item x="4"/>
        <item x="43"/>
        <item m="1" x="108"/>
        <item m="1" x="89"/>
        <item m="1" x="122"/>
        <item x="39"/>
        <item x="54"/>
        <item m="1" x="99"/>
        <item m="1" x="83"/>
        <item m="1" x="102"/>
        <item m="1" x="105"/>
        <item m="1" x="110"/>
        <item m="1" x="123"/>
        <item m="1" x="77"/>
        <item x="12"/>
        <item x="56"/>
        <item x="28"/>
        <item x="29"/>
        <item x="24"/>
        <item x="42"/>
        <item m="1" x="127"/>
        <item x="55"/>
        <item x="52"/>
        <item m="1" x="124"/>
        <item m="1" x="96"/>
        <item m="1" x="129"/>
        <item m="1" x="79"/>
        <item m="1" x="94"/>
        <item m="1" x="104"/>
        <item m="1" x="103"/>
        <item m="1" x="98"/>
        <item m="1" x="118"/>
        <item m="1" x="111"/>
        <item x="51"/>
        <item m="1" x="132"/>
        <item m="1" x="85"/>
        <item m="1" x="116"/>
        <item x="53"/>
        <item m="1" x="84"/>
        <item x="6"/>
        <item x="22"/>
        <item x="23"/>
        <item x="20"/>
        <item x="21"/>
        <item x="2"/>
        <item x="0"/>
        <item x="1"/>
        <item m="1" x="119"/>
        <item x="3"/>
        <item m="1" x="130"/>
        <item x="71"/>
        <item x="58"/>
        <item x="73"/>
        <item x="72"/>
        <item x="64"/>
        <item x="61"/>
        <item x="69"/>
        <item x="59"/>
        <item x="62"/>
        <item x="75"/>
        <item x="70"/>
        <item x="57"/>
        <item x="74"/>
        <item x="65"/>
        <item x="66"/>
        <item x="63"/>
        <item x="68"/>
        <item x="67"/>
        <item x="60"/>
        <item x="45"/>
        <item x="47"/>
        <item x="18"/>
        <item x="30"/>
        <item x="76"/>
        <item t="default"/>
      </items>
    </pivotField>
    <pivotField dataField="1" compact="0" outline="0" showAll="0"/>
    <pivotField compact="0" outline="0" subtotalTop="0" showAll="0"/>
  </pivotFields>
  <rowFields count="1">
    <field x="2"/>
  </rowFields>
  <rowItems count="6">
    <i>
      <x v="31"/>
    </i>
    <i>
      <x v="55"/>
    </i>
    <i>
      <x v="65"/>
    </i>
    <i>
      <x v="81"/>
    </i>
    <i>
      <x v="92"/>
    </i>
    <i>
      <x v="96"/>
    </i>
  </rowItems>
  <colItems count="1">
    <i/>
  </colItems>
  <pageFields count="1">
    <pageField fld="1" hier="-1"/>
  </pageFields>
  <dataFields count="1">
    <dataField name="Count of Sub Activity"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F684B-500C-46B0-8EE2-5B5CC7DE05C6}">
  <sheetPr codeName="Sheet8"/>
  <dimension ref="B1:I64"/>
  <sheetViews>
    <sheetView showGridLines="0" workbookViewId="0">
      <selection activeCell="J7" sqref="J7"/>
    </sheetView>
  </sheetViews>
  <sheetFormatPr defaultRowHeight="15" x14ac:dyDescent="0.25"/>
  <cols>
    <col min="9" max="9" width="14.85546875" customWidth="1"/>
  </cols>
  <sheetData>
    <row r="1" spans="2:9" ht="18.75" x14ac:dyDescent="0.3">
      <c r="B1" s="107" t="s">
        <v>228</v>
      </c>
    </row>
    <row r="2" spans="2:9" ht="24" customHeight="1" x14ac:dyDescent="0.25">
      <c r="B2" s="175" t="s">
        <v>266</v>
      </c>
      <c r="C2" s="176"/>
      <c r="D2" s="176"/>
      <c r="E2" s="176"/>
      <c r="F2" s="176"/>
      <c r="G2" s="176"/>
      <c r="H2" s="176"/>
      <c r="I2" s="176"/>
    </row>
    <row r="3" spans="2:9" ht="5.25" customHeight="1" x14ac:dyDescent="0.25">
      <c r="B3" s="176"/>
      <c r="C3" s="176"/>
      <c r="D3" s="176"/>
      <c r="E3" s="176"/>
      <c r="F3" s="176"/>
      <c r="G3" s="176"/>
      <c r="H3" s="176"/>
      <c r="I3" s="176"/>
    </row>
    <row r="4" spans="2:9" x14ac:dyDescent="0.25">
      <c r="B4" s="1" t="s">
        <v>359</v>
      </c>
    </row>
    <row r="5" spans="2:9" x14ac:dyDescent="0.25">
      <c r="B5" s="172" t="s">
        <v>360</v>
      </c>
      <c r="C5" s="172"/>
      <c r="D5" s="172"/>
      <c r="E5" s="172"/>
      <c r="F5" s="172"/>
      <c r="G5" s="172"/>
      <c r="H5" s="172"/>
      <c r="I5" s="172"/>
    </row>
    <row r="6" spans="2:9" x14ac:dyDescent="0.25">
      <c r="B6" s="172" t="s">
        <v>361</v>
      </c>
      <c r="C6" s="172"/>
      <c r="D6" s="172"/>
      <c r="E6" s="172"/>
      <c r="F6" s="172"/>
      <c r="G6" s="172"/>
      <c r="H6" s="172"/>
      <c r="I6" s="172"/>
    </row>
    <row r="7" spans="2:9" x14ac:dyDescent="0.25">
      <c r="B7" s="172" t="s">
        <v>362</v>
      </c>
      <c r="C7" s="172"/>
      <c r="D7" s="172"/>
      <c r="E7" s="172"/>
      <c r="F7" s="172"/>
      <c r="G7" s="172"/>
      <c r="H7" s="172"/>
      <c r="I7" s="172"/>
    </row>
    <row r="8" spans="2:9" x14ac:dyDescent="0.25">
      <c r="B8" s="172" t="s">
        <v>363</v>
      </c>
      <c r="C8" s="172"/>
      <c r="D8" s="172"/>
      <c r="E8" s="172"/>
      <c r="F8" s="172"/>
      <c r="G8" s="172"/>
      <c r="H8" s="172"/>
      <c r="I8" s="172"/>
    </row>
    <row r="9" spans="2:9" x14ac:dyDescent="0.25">
      <c r="B9" s="172" t="s">
        <v>364</v>
      </c>
      <c r="C9" s="172"/>
      <c r="D9" s="172"/>
      <c r="E9" s="172"/>
      <c r="F9" s="172"/>
      <c r="G9" s="172"/>
      <c r="H9" s="172"/>
      <c r="I9" s="172"/>
    </row>
    <row r="10" spans="2:9" x14ac:dyDescent="0.25">
      <c r="B10" s="172" t="s">
        <v>365</v>
      </c>
      <c r="C10" s="172"/>
      <c r="D10" s="172"/>
      <c r="E10" s="172"/>
      <c r="F10" s="172"/>
      <c r="G10" s="172"/>
      <c r="H10" s="172"/>
      <c r="I10" s="172"/>
    </row>
    <row r="11" spans="2:9" x14ac:dyDescent="0.25">
      <c r="B11" s="172" t="s">
        <v>366</v>
      </c>
      <c r="C11" s="172"/>
      <c r="D11" s="172"/>
      <c r="E11" s="172"/>
      <c r="F11" s="172"/>
      <c r="G11" s="172"/>
      <c r="H11" s="172"/>
      <c r="I11" s="172"/>
    </row>
    <row r="12" spans="2:9" x14ac:dyDescent="0.25">
      <c r="B12" s="172" t="s">
        <v>367</v>
      </c>
      <c r="C12" s="172"/>
      <c r="D12" s="172"/>
      <c r="E12" s="172"/>
      <c r="F12" s="172"/>
      <c r="G12" s="172"/>
      <c r="H12" s="172"/>
      <c r="I12" s="172"/>
    </row>
    <row r="13" spans="2:9" x14ac:dyDescent="0.25">
      <c r="B13" s="172" t="s">
        <v>368</v>
      </c>
      <c r="C13" s="172"/>
      <c r="D13" s="172"/>
      <c r="E13" s="172"/>
      <c r="F13" s="172"/>
      <c r="G13" s="172"/>
      <c r="H13" s="172"/>
      <c r="I13" s="172"/>
    </row>
    <row r="14" spans="2:9" ht="5.25" customHeight="1" x14ac:dyDescent="0.25">
      <c r="B14" s="172"/>
      <c r="C14" s="172"/>
      <c r="D14" s="172"/>
      <c r="E14" s="172"/>
      <c r="F14" s="172"/>
      <c r="G14" s="172"/>
      <c r="H14" s="172"/>
      <c r="I14" s="172"/>
    </row>
    <row r="15" spans="2:9" ht="5.25" hidden="1" customHeight="1" x14ac:dyDescent="0.25">
      <c r="B15" s="172"/>
      <c r="C15" s="172"/>
      <c r="D15" s="172"/>
      <c r="E15" s="172"/>
      <c r="F15" s="172"/>
      <c r="G15" s="172"/>
      <c r="H15" s="172"/>
      <c r="I15" s="172"/>
    </row>
    <row r="16" spans="2:9" ht="5.25" hidden="1" customHeight="1" x14ac:dyDescent="0.25">
      <c r="B16" s="172"/>
      <c r="C16" s="172"/>
      <c r="D16" s="172"/>
      <c r="E16" s="172"/>
      <c r="F16" s="172"/>
      <c r="G16" s="172"/>
      <c r="H16" s="172"/>
      <c r="I16" s="172"/>
    </row>
    <row r="17" spans="2:9" ht="5.25" hidden="1" customHeight="1" x14ac:dyDescent="0.25">
      <c r="B17" s="172"/>
      <c r="C17" s="172"/>
      <c r="D17" s="172"/>
      <c r="E17" s="172"/>
      <c r="F17" s="172"/>
      <c r="G17" s="172"/>
      <c r="H17" s="172"/>
      <c r="I17" s="172"/>
    </row>
    <row r="18" spans="2:9" ht="5.25" hidden="1" customHeight="1" x14ac:dyDescent="0.25">
      <c r="B18" s="172"/>
      <c r="C18" s="172"/>
      <c r="D18" s="172"/>
      <c r="E18" s="172"/>
      <c r="F18" s="172"/>
      <c r="G18" s="172"/>
      <c r="H18" s="172"/>
      <c r="I18" s="172"/>
    </row>
    <row r="19" spans="2:9" ht="5.25" hidden="1" customHeight="1" x14ac:dyDescent="0.25">
      <c r="B19" s="172"/>
      <c r="C19" s="172"/>
      <c r="D19" s="172"/>
      <c r="E19" s="172"/>
      <c r="F19" s="172"/>
      <c r="G19" s="172"/>
      <c r="H19" s="172"/>
      <c r="I19" s="172"/>
    </row>
    <row r="20" spans="2:9" ht="5.25" hidden="1" customHeight="1" x14ac:dyDescent="0.25">
      <c r="B20" s="172"/>
      <c r="C20" s="172"/>
      <c r="D20" s="172"/>
      <c r="E20" s="172"/>
      <c r="F20" s="172"/>
      <c r="G20" s="172"/>
      <c r="H20" s="172"/>
      <c r="I20" s="172"/>
    </row>
    <row r="21" spans="2:9" ht="5.25" hidden="1" customHeight="1" x14ac:dyDescent="0.25">
      <c r="B21" s="172"/>
      <c r="C21" s="172"/>
      <c r="D21" s="172"/>
      <c r="E21" s="172"/>
      <c r="F21" s="172"/>
      <c r="G21" s="172"/>
      <c r="H21" s="172"/>
      <c r="I21" s="172"/>
    </row>
    <row r="22" spans="2:9" ht="5.25" hidden="1" customHeight="1" x14ac:dyDescent="0.25">
      <c r="B22" s="172"/>
      <c r="C22" s="172"/>
      <c r="D22" s="172"/>
      <c r="E22" s="172"/>
      <c r="F22" s="172"/>
      <c r="G22" s="172"/>
      <c r="H22" s="172"/>
      <c r="I22" s="172"/>
    </row>
    <row r="23" spans="2:9" ht="5.25" hidden="1" customHeight="1" x14ac:dyDescent="0.25">
      <c r="B23" s="172"/>
      <c r="C23" s="172"/>
      <c r="D23" s="172"/>
      <c r="E23" s="172"/>
      <c r="F23" s="172"/>
      <c r="G23" s="172"/>
      <c r="H23" s="172"/>
      <c r="I23" s="172"/>
    </row>
    <row r="24" spans="2:9" ht="5.25" hidden="1" customHeight="1" x14ac:dyDescent="0.25">
      <c r="B24" s="172"/>
      <c r="C24" s="172"/>
      <c r="D24" s="172"/>
      <c r="E24" s="172"/>
      <c r="F24" s="172"/>
      <c r="G24" s="172"/>
      <c r="H24" s="172"/>
      <c r="I24" s="172"/>
    </row>
    <row r="25" spans="2:9" ht="5.25" hidden="1" customHeight="1" x14ac:dyDescent="0.25">
      <c r="B25" s="172"/>
      <c r="C25" s="172"/>
      <c r="D25" s="172"/>
      <c r="E25" s="172"/>
      <c r="F25" s="172"/>
      <c r="G25" s="172"/>
      <c r="H25" s="172"/>
      <c r="I25" s="172"/>
    </row>
    <row r="26" spans="2:9" ht="5.25" hidden="1" customHeight="1" x14ac:dyDescent="0.25">
      <c r="B26" s="172"/>
      <c r="C26" s="172"/>
      <c r="D26" s="172"/>
      <c r="E26" s="172"/>
      <c r="F26" s="172"/>
      <c r="G26" s="172"/>
      <c r="H26" s="172"/>
      <c r="I26" s="172"/>
    </row>
    <row r="27" spans="2:9" ht="5.25" hidden="1" customHeight="1" x14ac:dyDescent="0.25">
      <c r="B27" s="172"/>
      <c r="C27" s="172"/>
      <c r="D27" s="172"/>
      <c r="E27" s="172"/>
      <c r="F27" s="172"/>
      <c r="G27" s="172"/>
      <c r="H27" s="172"/>
      <c r="I27" s="172"/>
    </row>
    <row r="28" spans="2:9" ht="5.25" hidden="1" customHeight="1" x14ac:dyDescent="0.25">
      <c r="B28" s="172"/>
      <c r="C28" s="172"/>
      <c r="D28" s="172"/>
      <c r="E28" s="172"/>
      <c r="F28" s="172"/>
      <c r="G28" s="172"/>
      <c r="H28" s="172"/>
      <c r="I28" s="172"/>
    </row>
    <row r="29" spans="2:9" ht="5.25" hidden="1" customHeight="1" x14ac:dyDescent="0.25">
      <c r="B29" s="172"/>
      <c r="C29" s="172"/>
      <c r="D29" s="172"/>
      <c r="E29" s="172"/>
      <c r="F29" s="172"/>
      <c r="G29" s="172"/>
      <c r="H29" s="172"/>
      <c r="I29" s="172"/>
    </row>
    <row r="30" spans="2:9" ht="5.25" hidden="1" customHeight="1" x14ac:dyDescent="0.25">
      <c r="B30" s="172"/>
      <c r="C30" s="172"/>
      <c r="D30" s="172"/>
      <c r="E30" s="172"/>
      <c r="F30" s="172"/>
      <c r="G30" s="172"/>
      <c r="H30" s="172"/>
      <c r="I30" s="172"/>
    </row>
    <row r="31" spans="2:9" ht="5.25" hidden="1" customHeight="1" x14ac:dyDescent="0.25">
      <c r="B31" s="172"/>
      <c r="C31" s="172"/>
      <c r="D31" s="172"/>
      <c r="E31" s="172"/>
      <c r="F31" s="172"/>
      <c r="G31" s="172"/>
      <c r="H31" s="172"/>
      <c r="I31" s="172"/>
    </row>
    <row r="32" spans="2:9" ht="5.25" hidden="1" customHeight="1" x14ac:dyDescent="0.25">
      <c r="B32" s="172"/>
      <c r="C32" s="172"/>
      <c r="D32" s="172"/>
      <c r="E32" s="172"/>
      <c r="F32" s="172"/>
      <c r="G32" s="172"/>
      <c r="H32" s="172"/>
      <c r="I32" s="172"/>
    </row>
    <row r="33" spans="2:9" ht="5.25" hidden="1" customHeight="1" x14ac:dyDescent="0.25">
      <c r="B33" s="172"/>
      <c r="C33" s="172"/>
      <c r="D33" s="172"/>
      <c r="E33" s="172"/>
      <c r="F33" s="172"/>
      <c r="G33" s="172"/>
      <c r="H33" s="172"/>
      <c r="I33" s="172"/>
    </row>
    <row r="34" spans="2:9" ht="5.25" hidden="1" customHeight="1" x14ac:dyDescent="0.25">
      <c r="B34" s="172"/>
      <c r="C34" s="172"/>
      <c r="D34" s="172"/>
      <c r="E34" s="172"/>
      <c r="F34" s="172"/>
      <c r="G34" s="172"/>
      <c r="H34" s="172"/>
      <c r="I34" s="172"/>
    </row>
    <row r="35" spans="2:9" ht="5.25" hidden="1" customHeight="1" x14ac:dyDescent="0.25">
      <c r="B35" s="172"/>
      <c r="C35" s="172"/>
      <c r="D35" s="172"/>
      <c r="E35" s="172"/>
      <c r="F35" s="172"/>
      <c r="G35" s="172"/>
      <c r="H35" s="172"/>
      <c r="I35" s="172"/>
    </row>
    <row r="36" spans="2:9" ht="5.25" hidden="1" customHeight="1" x14ac:dyDescent="0.25">
      <c r="B36" s="172"/>
      <c r="C36" s="172"/>
      <c r="D36" s="172"/>
      <c r="E36" s="172"/>
      <c r="F36" s="172"/>
      <c r="G36" s="172"/>
      <c r="H36" s="172"/>
      <c r="I36" s="172"/>
    </row>
    <row r="37" spans="2:9" ht="5.25" hidden="1" customHeight="1" x14ac:dyDescent="0.25">
      <c r="B37" s="172"/>
      <c r="C37" s="172"/>
      <c r="D37" s="172"/>
      <c r="E37" s="172"/>
      <c r="F37" s="172"/>
      <c r="G37" s="172"/>
      <c r="H37" s="172"/>
      <c r="I37" s="172"/>
    </row>
    <row r="38" spans="2:9" ht="5.25" hidden="1" customHeight="1" x14ac:dyDescent="0.25">
      <c r="B38" s="172"/>
      <c r="C38" s="172"/>
      <c r="D38" s="172"/>
      <c r="E38" s="172"/>
      <c r="F38" s="172"/>
      <c r="G38" s="172"/>
      <c r="H38" s="172"/>
      <c r="I38" s="172"/>
    </row>
    <row r="39" spans="2:9" ht="5.25" hidden="1" customHeight="1" x14ac:dyDescent="0.25">
      <c r="B39" s="172"/>
      <c r="C39" s="172"/>
      <c r="D39" s="172"/>
      <c r="E39" s="172"/>
      <c r="F39" s="172"/>
      <c r="G39" s="172"/>
      <c r="H39" s="172"/>
      <c r="I39" s="172"/>
    </row>
    <row r="40" spans="2:9" ht="5.25" hidden="1" customHeight="1" x14ac:dyDescent="0.25">
      <c r="B40" s="172"/>
      <c r="C40" s="172"/>
      <c r="D40" s="172"/>
      <c r="E40" s="172"/>
      <c r="F40" s="172"/>
      <c r="G40" s="172"/>
      <c r="H40" s="172"/>
      <c r="I40" s="172"/>
    </row>
    <row r="41" spans="2:9" ht="5.25" hidden="1" customHeight="1" x14ac:dyDescent="0.25">
      <c r="B41" s="172"/>
      <c r="C41" s="172"/>
      <c r="D41" s="172"/>
      <c r="E41" s="172"/>
      <c r="F41" s="172"/>
      <c r="G41" s="172"/>
      <c r="H41" s="172"/>
      <c r="I41" s="172"/>
    </row>
    <row r="42" spans="2:9" ht="5.25" hidden="1" customHeight="1" x14ac:dyDescent="0.25">
      <c r="B42" s="172"/>
      <c r="C42" s="172"/>
      <c r="D42" s="172"/>
      <c r="E42" s="172"/>
      <c r="F42" s="172"/>
      <c r="G42" s="172"/>
      <c r="H42" s="172"/>
      <c r="I42" s="172"/>
    </row>
    <row r="43" spans="2:9" ht="5.25" hidden="1" customHeight="1" x14ac:dyDescent="0.25">
      <c r="B43" s="172"/>
      <c r="C43" s="172"/>
      <c r="D43" s="172"/>
      <c r="E43" s="172"/>
      <c r="F43" s="172"/>
      <c r="G43" s="172"/>
      <c r="H43" s="172"/>
      <c r="I43" s="172"/>
    </row>
    <row r="44" spans="2:9" ht="5.25" hidden="1" customHeight="1" x14ac:dyDescent="0.25">
      <c r="B44" s="172"/>
      <c r="C44" s="172"/>
      <c r="D44" s="172"/>
      <c r="E44" s="172"/>
      <c r="F44" s="172"/>
      <c r="G44" s="172"/>
      <c r="H44" s="172"/>
      <c r="I44" s="172"/>
    </row>
    <row r="45" spans="2:9" ht="5.25" hidden="1" customHeight="1" x14ac:dyDescent="0.25">
      <c r="B45" s="172"/>
      <c r="C45" s="172"/>
      <c r="D45" s="172"/>
      <c r="E45" s="172"/>
      <c r="F45" s="172"/>
      <c r="G45" s="172"/>
      <c r="H45" s="172"/>
      <c r="I45" s="172"/>
    </row>
    <row r="46" spans="2:9" ht="5.25" hidden="1" customHeight="1" x14ac:dyDescent="0.25">
      <c r="B46" s="172"/>
      <c r="C46" s="172"/>
      <c r="D46" s="172"/>
      <c r="E46" s="172"/>
      <c r="F46" s="172"/>
      <c r="G46" s="172"/>
      <c r="H46" s="172"/>
      <c r="I46" s="172"/>
    </row>
    <row r="47" spans="2:9" ht="5.25" hidden="1" customHeight="1" x14ac:dyDescent="0.25">
      <c r="B47" s="172"/>
      <c r="C47" s="172"/>
      <c r="D47" s="172"/>
      <c r="E47" s="172"/>
      <c r="F47" s="172"/>
      <c r="G47" s="172"/>
      <c r="H47" s="172"/>
      <c r="I47" s="172"/>
    </row>
    <row r="48" spans="2:9" x14ac:dyDescent="0.25">
      <c r="B48" s="1" t="s">
        <v>229</v>
      </c>
    </row>
    <row r="49" spans="2:9" x14ac:dyDescent="0.25">
      <c r="B49" s="176" t="s">
        <v>264</v>
      </c>
      <c r="C49" s="176"/>
      <c r="D49" s="176"/>
      <c r="E49" s="176"/>
      <c r="F49" s="176"/>
      <c r="G49" s="176"/>
      <c r="H49" s="176"/>
      <c r="I49" s="176"/>
    </row>
    <row r="50" spans="2:9" x14ac:dyDescent="0.25">
      <c r="B50" s="176" t="s">
        <v>265</v>
      </c>
      <c r="C50" s="176"/>
      <c r="D50" s="176"/>
      <c r="E50" s="176"/>
      <c r="F50" s="176"/>
      <c r="G50" s="176"/>
      <c r="H50" s="176"/>
      <c r="I50" s="176"/>
    </row>
    <row r="51" spans="2:9" ht="48" customHeight="1" x14ac:dyDescent="0.25">
      <c r="B51" s="175" t="s">
        <v>269</v>
      </c>
      <c r="C51" s="175"/>
      <c r="D51" s="175"/>
      <c r="E51" s="175"/>
      <c r="F51" s="175"/>
      <c r="G51" s="175"/>
      <c r="H51" s="175"/>
      <c r="I51" s="175"/>
    </row>
    <row r="52" spans="2:9" x14ac:dyDescent="0.25">
      <c r="B52" s="1" t="s">
        <v>305</v>
      </c>
      <c r="C52" s="159"/>
      <c r="D52" s="159"/>
      <c r="E52" s="159"/>
      <c r="F52" s="159"/>
      <c r="G52" s="159"/>
      <c r="H52" s="159"/>
      <c r="I52" s="159"/>
    </row>
    <row r="53" spans="2:9" ht="110.25" customHeight="1" x14ac:dyDescent="0.25">
      <c r="B53" s="175" t="s">
        <v>306</v>
      </c>
      <c r="C53" s="175"/>
      <c r="D53" s="175"/>
      <c r="E53" s="175"/>
      <c r="F53" s="175"/>
      <c r="G53" s="175"/>
      <c r="H53" s="175"/>
      <c r="I53" s="175"/>
    </row>
    <row r="54" spans="2:9" x14ac:dyDescent="0.25">
      <c r="B54" s="160" t="s">
        <v>307</v>
      </c>
      <c r="C54" s="158"/>
      <c r="D54" s="158"/>
      <c r="E54" s="158"/>
      <c r="F54" s="158"/>
      <c r="G54" s="158"/>
      <c r="H54" s="158"/>
      <c r="I54" s="158"/>
    </row>
    <row r="55" spans="2:9" x14ac:dyDescent="0.25">
      <c r="B55" s="174" t="s">
        <v>308</v>
      </c>
      <c r="C55" s="174"/>
      <c r="D55" s="174"/>
      <c r="E55" s="174"/>
      <c r="F55" s="174"/>
      <c r="G55" s="174"/>
      <c r="H55" s="174"/>
      <c r="I55" s="174"/>
    </row>
    <row r="56" spans="2:9" x14ac:dyDescent="0.25">
      <c r="B56" s="174" t="s">
        <v>309</v>
      </c>
      <c r="C56" s="174"/>
      <c r="D56" s="174"/>
      <c r="E56" s="174"/>
      <c r="F56" s="174"/>
      <c r="G56" s="174"/>
      <c r="H56" s="174"/>
      <c r="I56" s="174"/>
    </row>
    <row r="57" spans="2:9" x14ac:dyDescent="0.25">
      <c r="B57" s="174" t="s">
        <v>310</v>
      </c>
      <c r="C57" s="174"/>
      <c r="D57" s="174"/>
      <c r="E57" s="174"/>
      <c r="F57" s="174"/>
      <c r="G57" s="174"/>
      <c r="H57" s="174"/>
      <c r="I57" s="174"/>
    </row>
    <row r="58" spans="2:9" x14ac:dyDescent="0.25">
      <c r="B58" s="174" t="s">
        <v>311</v>
      </c>
      <c r="C58" s="174"/>
      <c r="D58" s="174"/>
      <c r="E58" s="174"/>
      <c r="F58" s="174"/>
      <c r="G58" s="174"/>
      <c r="H58" s="174"/>
      <c r="I58" s="174"/>
    </row>
    <row r="59" spans="2:9" x14ac:dyDescent="0.25">
      <c r="B59" s="174" t="s">
        <v>312</v>
      </c>
      <c r="C59" s="174"/>
      <c r="D59" s="174"/>
      <c r="E59" s="174"/>
      <c r="F59" s="174"/>
      <c r="G59" s="174"/>
      <c r="H59" s="174"/>
      <c r="I59" s="174"/>
    </row>
    <row r="60" spans="2:9" x14ac:dyDescent="0.25">
      <c r="B60" s="174" t="s">
        <v>313</v>
      </c>
      <c r="C60" s="174"/>
      <c r="D60" s="174"/>
      <c r="E60" s="174"/>
      <c r="F60" s="174"/>
      <c r="G60" s="174"/>
      <c r="H60" s="174"/>
      <c r="I60" s="174"/>
    </row>
    <row r="61" spans="2:9" ht="18" customHeight="1" x14ac:dyDescent="0.25">
      <c r="B61" s="174" t="s">
        <v>314</v>
      </c>
      <c r="C61" s="174"/>
      <c r="D61" s="174"/>
      <c r="E61" s="174"/>
      <c r="F61" s="174"/>
      <c r="G61" s="174"/>
      <c r="H61" s="174"/>
      <c r="I61" s="174"/>
    </row>
    <row r="62" spans="2:9" x14ac:dyDescent="0.25">
      <c r="B62" s="174" t="s">
        <v>315</v>
      </c>
      <c r="C62" s="174"/>
      <c r="D62" s="174"/>
      <c r="E62" s="174"/>
      <c r="F62" s="174"/>
      <c r="G62" s="174"/>
      <c r="H62" s="174"/>
      <c r="I62" s="174"/>
    </row>
    <row r="64" spans="2:9" x14ac:dyDescent="0.25">
      <c r="B64" s="106" t="s">
        <v>230</v>
      </c>
    </row>
  </sheetData>
  <sheetProtection algorithmName="SHA-512" hashValue="RNq2eElTxFKP06FbDYRInpeVBZBgoLLoqjKX7wrzH6MeEH5dcVV/0plWq2jHocDZ+mBrpvZuxEmVzbrci4grPQ==" saltValue="cx0LIuLkp7L3UsJo1de6dg==" spinCount="100000" sheet="1" objects="1" scenarios="1"/>
  <mergeCells count="13">
    <mergeCell ref="B2:I3"/>
    <mergeCell ref="B49:I49"/>
    <mergeCell ref="B50:I50"/>
    <mergeCell ref="B51:I51"/>
    <mergeCell ref="B53:I53"/>
    <mergeCell ref="B60:I60"/>
    <mergeCell ref="B61:I61"/>
    <mergeCell ref="B62:I62"/>
    <mergeCell ref="B55:I55"/>
    <mergeCell ref="B56:I56"/>
    <mergeCell ref="B57:I57"/>
    <mergeCell ref="B58:I58"/>
    <mergeCell ref="B59:I59"/>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02EC70-C0DC-431F-8DFC-D62D0B703DA1}">
  <sheetPr codeName="Sheet3"/>
  <dimension ref="B2:Z21"/>
  <sheetViews>
    <sheetView showGridLines="0" workbookViewId="0">
      <selection activeCell="N20" sqref="N20"/>
    </sheetView>
  </sheetViews>
  <sheetFormatPr defaultRowHeight="15" x14ac:dyDescent="0.25"/>
  <cols>
    <col min="1" max="24" width="2.7109375" customWidth="1"/>
    <col min="25" max="25" width="1.28515625" customWidth="1"/>
    <col min="26" max="27" width="2.7109375" customWidth="1"/>
  </cols>
  <sheetData>
    <row r="2" spans="2:26" ht="15.75" thickBot="1" x14ac:dyDescent="0.3"/>
    <row r="3" spans="2:26" ht="9.75" customHeight="1" x14ac:dyDescent="0.25">
      <c r="B3" s="3"/>
      <c r="C3" s="4"/>
      <c r="D3" s="4"/>
      <c r="E3" s="4"/>
      <c r="F3" s="4"/>
      <c r="G3" s="4"/>
      <c r="H3" s="4"/>
      <c r="I3" s="4"/>
      <c r="J3" s="4"/>
      <c r="K3" s="4"/>
      <c r="L3" s="4"/>
      <c r="M3" s="4"/>
      <c r="N3" s="4"/>
      <c r="O3" s="4"/>
      <c r="P3" s="4"/>
      <c r="Q3" s="4"/>
      <c r="R3" s="4"/>
      <c r="S3" s="4"/>
      <c r="T3" s="4"/>
      <c r="U3" s="4"/>
      <c r="V3" s="4"/>
      <c r="W3" s="4"/>
      <c r="X3" s="4"/>
      <c r="Y3" s="4"/>
      <c r="Z3" s="5"/>
    </row>
    <row r="4" spans="2:26" x14ac:dyDescent="0.25">
      <c r="B4" s="6"/>
      <c r="M4" s="7" t="s">
        <v>14</v>
      </c>
      <c r="N4" s="8"/>
      <c r="O4" s="8"/>
      <c r="P4" s="8"/>
      <c r="Q4" s="8"/>
      <c r="R4" s="8"/>
      <c r="S4" s="8"/>
      <c r="T4" s="8"/>
      <c r="U4" s="8"/>
      <c r="V4" s="8"/>
      <c r="W4" s="8"/>
      <c r="X4" s="8"/>
      <c r="Z4" s="9"/>
    </row>
    <row r="5" spans="2:26" ht="6" customHeight="1" x14ac:dyDescent="0.25">
      <c r="B5" s="6"/>
      <c r="Z5" s="9"/>
    </row>
    <row r="6" spans="2:26" x14ac:dyDescent="0.25">
      <c r="B6" s="6"/>
      <c r="M6" s="10" t="s">
        <v>15</v>
      </c>
      <c r="N6" s="8"/>
      <c r="O6" s="8"/>
      <c r="P6" s="8"/>
      <c r="Q6" s="8"/>
      <c r="R6" s="8"/>
      <c r="S6" s="8"/>
      <c r="T6" s="8"/>
      <c r="U6" s="8"/>
      <c r="V6" s="8"/>
      <c r="W6" s="8"/>
      <c r="X6" s="8"/>
      <c r="Z6" s="9"/>
    </row>
    <row r="7" spans="2:26" ht="6" customHeight="1" x14ac:dyDescent="0.25">
      <c r="B7" s="6"/>
      <c r="Z7" s="9"/>
    </row>
    <row r="8" spans="2:26" x14ac:dyDescent="0.25">
      <c r="B8" s="6"/>
      <c r="M8" s="7" t="s">
        <v>16</v>
      </c>
      <c r="N8" s="8"/>
      <c r="O8" s="8"/>
      <c r="P8" s="8"/>
      <c r="Q8" s="8"/>
      <c r="R8" s="8"/>
      <c r="S8" s="8"/>
      <c r="T8" s="8"/>
      <c r="U8" s="8"/>
      <c r="V8" s="8"/>
      <c r="W8" s="8"/>
      <c r="X8" s="8"/>
      <c r="Z8" s="9"/>
    </row>
    <row r="9" spans="2:26" ht="6" customHeight="1" x14ac:dyDescent="0.25">
      <c r="B9" s="6"/>
      <c r="M9" s="7"/>
      <c r="Z9" s="9"/>
    </row>
    <row r="10" spans="2:26" x14ac:dyDescent="0.25">
      <c r="B10" s="6"/>
      <c r="M10" s="7" t="s">
        <v>17</v>
      </c>
      <c r="N10" s="8"/>
      <c r="O10" s="8"/>
      <c r="P10" s="8"/>
      <c r="Q10" s="8"/>
      <c r="R10" s="8"/>
      <c r="S10" s="8"/>
      <c r="T10" s="8"/>
      <c r="U10" s="8"/>
      <c r="V10" s="8"/>
      <c r="W10" s="8"/>
      <c r="X10" s="8"/>
      <c r="Z10" s="9"/>
    </row>
    <row r="11" spans="2:26" ht="6" customHeight="1" x14ac:dyDescent="0.25">
      <c r="B11" s="6"/>
      <c r="M11" s="7"/>
      <c r="Z11" s="9"/>
    </row>
    <row r="12" spans="2:26" ht="13.5" hidden="1" customHeight="1" x14ac:dyDescent="0.25">
      <c r="B12" s="6"/>
      <c r="M12" s="7" t="s">
        <v>18</v>
      </c>
      <c r="N12" s="177"/>
      <c r="O12" s="177"/>
      <c r="P12" s="177"/>
      <c r="Q12" s="177"/>
      <c r="R12" s="177"/>
      <c r="S12" s="177"/>
      <c r="T12" s="177"/>
      <c r="U12" s="177"/>
      <c r="V12" s="177"/>
      <c r="W12" s="177"/>
      <c r="X12" s="177"/>
      <c r="Z12" s="9"/>
    </row>
    <row r="13" spans="2:26" ht="6" hidden="1" customHeight="1" x14ac:dyDescent="0.25">
      <c r="B13" s="6"/>
      <c r="M13" s="7"/>
      <c r="Z13" s="9"/>
    </row>
    <row r="14" spans="2:26" x14ac:dyDescent="0.25">
      <c r="B14" s="6"/>
      <c r="M14" s="7" t="s">
        <v>19</v>
      </c>
      <c r="N14" s="8"/>
      <c r="O14" s="8"/>
      <c r="P14" s="8"/>
      <c r="Q14" s="8"/>
      <c r="R14" s="8"/>
      <c r="S14" s="8"/>
      <c r="T14" s="8"/>
      <c r="U14" s="8"/>
      <c r="V14" s="8"/>
      <c r="W14" s="8"/>
      <c r="X14" s="8"/>
      <c r="Z14" s="9"/>
    </row>
    <row r="15" spans="2:26" ht="6" customHeight="1" x14ac:dyDescent="0.25">
      <c r="B15" s="6"/>
      <c r="M15" s="7"/>
      <c r="Z15" s="9"/>
    </row>
    <row r="16" spans="2:26" x14ac:dyDescent="0.25">
      <c r="B16" s="6"/>
      <c r="M16" s="7" t="s">
        <v>223</v>
      </c>
      <c r="N16" s="178"/>
      <c r="O16" s="178"/>
      <c r="P16" s="178"/>
      <c r="Q16" s="178"/>
      <c r="R16" s="178"/>
      <c r="S16" s="178"/>
      <c r="T16" s="178"/>
      <c r="U16" s="178"/>
      <c r="V16" s="178"/>
      <c r="W16" s="178"/>
      <c r="X16" s="178"/>
      <c r="Z16" s="9"/>
    </row>
    <row r="17" spans="2:26" ht="6" customHeight="1" x14ac:dyDescent="0.25">
      <c r="B17" s="6"/>
      <c r="M17" s="7"/>
      <c r="Z17" s="9"/>
    </row>
    <row r="18" spans="2:26" x14ac:dyDescent="0.25">
      <c r="B18" s="6"/>
      <c r="M18" s="7" t="s">
        <v>20</v>
      </c>
      <c r="N18" s="8"/>
      <c r="O18" s="8"/>
      <c r="P18" s="8"/>
      <c r="Q18" s="8"/>
      <c r="R18" s="8"/>
      <c r="S18" s="8"/>
      <c r="T18" s="8"/>
      <c r="U18" s="8"/>
      <c r="V18" s="8"/>
      <c r="W18" s="8"/>
      <c r="X18" s="8"/>
      <c r="Z18" s="9"/>
    </row>
    <row r="19" spans="2:26" ht="6" customHeight="1" x14ac:dyDescent="0.25">
      <c r="B19" s="6"/>
      <c r="M19" s="7"/>
      <c r="Z19" s="9"/>
    </row>
    <row r="20" spans="2:26" x14ac:dyDescent="0.25">
      <c r="B20" s="6"/>
      <c r="M20" s="7" t="s">
        <v>224</v>
      </c>
      <c r="N20" s="8"/>
      <c r="O20" s="8"/>
      <c r="P20" s="8"/>
      <c r="Q20" s="8"/>
      <c r="R20" s="8"/>
      <c r="S20" s="8"/>
      <c r="T20" s="8"/>
      <c r="U20" s="8"/>
      <c r="V20" s="8"/>
      <c r="W20" s="8"/>
      <c r="X20" s="8"/>
      <c r="Z20" s="9"/>
    </row>
    <row r="21" spans="2:26" ht="9" customHeight="1" thickBot="1" x14ac:dyDescent="0.3">
      <c r="B21" s="11"/>
      <c r="C21" s="12"/>
      <c r="D21" s="12"/>
      <c r="E21" s="12"/>
      <c r="F21" s="12"/>
      <c r="G21" s="12"/>
      <c r="H21" s="12"/>
      <c r="I21" s="12"/>
      <c r="J21" s="12"/>
      <c r="K21" s="12"/>
      <c r="L21" s="12"/>
      <c r="M21" s="12"/>
      <c r="N21" s="12"/>
      <c r="O21" s="12"/>
      <c r="P21" s="12"/>
      <c r="Q21" s="12"/>
      <c r="R21" s="12"/>
      <c r="S21" s="12"/>
      <c r="T21" s="12"/>
      <c r="U21" s="12"/>
      <c r="V21" s="12"/>
      <c r="W21" s="12"/>
      <c r="X21" s="12"/>
      <c r="Y21" s="12"/>
      <c r="Z21" s="13"/>
    </row>
  </sheetData>
  <mergeCells count="2">
    <mergeCell ref="N12:X12"/>
    <mergeCell ref="N16:X16"/>
  </mergeCells>
  <dataValidations count="2">
    <dataValidation type="list" allowBlank="1" showInputMessage="1" showErrorMessage="1" sqref="N12:X12" xr:uid="{3C37EBC7-A3B0-4368-8940-3BA6A2411FF3}">
      <formula1>"AD,AMS,Testing"</formula1>
    </dataValidation>
    <dataValidation type="whole" allowBlank="1" showInputMessage="1" showErrorMessage="1" error="Employee number should be a number." sqref="N16:X16" xr:uid="{3C06F8CF-2CE8-43D0-8C8A-6882FB867BA8}">
      <formula1>0</formula1>
      <formula2>999999999999999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AS521"/>
  <sheetViews>
    <sheetView showGridLines="0" topLeftCell="A2" workbookViewId="0">
      <selection activeCell="P12" sqref="P12"/>
    </sheetView>
  </sheetViews>
  <sheetFormatPr defaultRowHeight="15" x14ac:dyDescent="0.25"/>
  <cols>
    <col min="1" max="1" width="5.7109375" style="35" customWidth="1"/>
    <col min="2" max="2" width="2.7109375" style="35" customWidth="1"/>
    <col min="3" max="3" width="14.7109375" style="35" customWidth="1"/>
    <col min="4" max="4" width="1.5703125" style="35" customWidth="1"/>
    <col min="5" max="5" width="27" style="35" customWidth="1"/>
    <col min="6" max="6" width="1.7109375" style="35" hidden="1" customWidth="1"/>
    <col min="7" max="7" width="1.140625" style="35" customWidth="1"/>
    <col min="8" max="8" width="33.5703125" style="35" customWidth="1"/>
    <col min="9" max="9" width="1.7109375" style="35" hidden="1" customWidth="1"/>
    <col min="10" max="10" width="2" style="35" hidden="1" customWidth="1"/>
    <col min="11" max="11" width="0.7109375" style="35" customWidth="1"/>
    <col min="12" max="12" width="21.85546875" style="35" customWidth="1"/>
    <col min="13" max="13" width="2.5703125" style="35" hidden="1" customWidth="1"/>
    <col min="14" max="14" width="1.140625" style="35" customWidth="1"/>
    <col min="15" max="15" width="11.5703125" style="35" customWidth="1"/>
    <col min="16" max="16" width="10" style="35" customWidth="1"/>
    <col min="17" max="17" width="9.28515625" style="35" customWidth="1"/>
    <col min="18" max="18" width="10" style="35" customWidth="1"/>
    <col min="19" max="19" width="9.140625" style="35"/>
    <col min="20" max="20" width="1.42578125" style="35" customWidth="1"/>
    <col min="21" max="16384" width="9.140625" style="35"/>
  </cols>
  <sheetData>
    <row r="1" spans="1:45" s="31" customFormat="1" hidden="1" x14ac:dyDescent="0.25">
      <c r="A1" s="30" t="s">
        <v>173</v>
      </c>
      <c r="B1" s="30" t="s">
        <v>172</v>
      </c>
      <c r="C1" s="31">
        <v>3</v>
      </c>
      <c r="D1" s="31">
        <f>C1+1</f>
        <v>4</v>
      </c>
      <c r="E1" s="31">
        <f t="shared" ref="E1:AS1" si="0">D1+1</f>
        <v>5</v>
      </c>
      <c r="F1" s="31">
        <f t="shared" si="0"/>
        <v>6</v>
      </c>
      <c r="G1" s="31">
        <f t="shared" si="0"/>
        <v>7</v>
      </c>
      <c r="H1" s="31">
        <f t="shared" si="0"/>
        <v>8</v>
      </c>
      <c r="I1" s="31">
        <f t="shared" si="0"/>
        <v>9</v>
      </c>
      <c r="J1" s="31">
        <f t="shared" si="0"/>
        <v>10</v>
      </c>
      <c r="K1" s="31">
        <f t="shared" si="0"/>
        <v>11</v>
      </c>
      <c r="L1" s="31">
        <f t="shared" si="0"/>
        <v>12</v>
      </c>
      <c r="M1" s="31">
        <f t="shared" si="0"/>
        <v>13</v>
      </c>
      <c r="N1" s="31">
        <f t="shared" si="0"/>
        <v>14</v>
      </c>
      <c r="O1" s="31">
        <f t="shared" si="0"/>
        <v>15</v>
      </c>
      <c r="P1" s="31">
        <f t="shared" si="0"/>
        <v>16</v>
      </c>
      <c r="Q1" s="31">
        <f t="shared" si="0"/>
        <v>17</v>
      </c>
      <c r="R1" s="31">
        <f t="shared" si="0"/>
        <v>18</v>
      </c>
      <c r="S1" s="31">
        <f t="shared" si="0"/>
        <v>19</v>
      </c>
      <c r="T1" s="31">
        <f t="shared" si="0"/>
        <v>20</v>
      </c>
      <c r="U1" s="31">
        <f t="shared" si="0"/>
        <v>21</v>
      </c>
      <c r="V1" s="31">
        <f t="shared" si="0"/>
        <v>22</v>
      </c>
      <c r="W1" s="31">
        <f t="shared" si="0"/>
        <v>23</v>
      </c>
      <c r="X1" s="31">
        <f t="shared" si="0"/>
        <v>24</v>
      </c>
      <c r="Y1" s="31">
        <f t="shared" si="0"/>
        <v>25</v>
      </c>
      <c r="Z1" s="31">
        <f t="shared" si="0"/>
        <v>26</v>
      </c>
      <c r="AA1" s="31">
        <f t="shared" si="0"/>
        <v>27</v>
      </c>
      <c r="AB1" s="31">
        <f t="shared" si="0"/>
        <v>28</v>
      </c>
      <c r="AC1" s="31">
        <f t="shared" si="0"/>
        <v>29</v>
      </c>
      <c r="AD1" s="31">
        <f t="shared" si="0"/>
        <v>30</v>
      </c>
      <c r="AE1" s="31">
        <f t="shared" si="0"/>
        <v>31</v>
      </c>
      <c r="AF1" s="31">
        <f t="shared" si="0"/>
        <v>32</v>
      </c>
      <c r="AG1" s="31">
        <f t="shared" si="0"/>
        <v>33</v>
      </c>
      <c r="AH1" s="31">
        <f t="shared" si="0"/>
        <v>34</v>
      </c>
      <c r="AI1" s="31">
        <f t="shared" si="0"/>
        <v>35</v>
      </c>
      <c r="AJ1" s="31">
        <f t="shared" si="0"/>
        <v>36</v>
      </c>
      <c r="AK1" s="31">
        <f t="shared" si="0"/>
        <v>37</v>
      </c>
      <c r="AL1" s="31">
        <f t="shared" si="0"/>
        <v>38</v>
      </c>
      <c r="AM1" s="31">
        <f t="shared" si="0"/>
        <v>39</v>
      </c>
      <c r="AN1" s="31">
        <f t="shared" si="0"/>
        <v>40</v>
      </c>
      <c r="AO1" s="31">
        <f t="shared" si="0"/>
        <v>41</v>
      </c>
      <c r="AP1" s="31">
        <f t="shared" si="0"/>
        <v>42</v>
      </c>
      <c r="AQ1" s="31">
        <f t="shared" si="0"/>
        <v>43</v>
      </c>
      <c r="AR1" s="31">
        <f t="shared" si="0"/>
        <v>44</v>
      </c>
      <c r="AS1" s="31">
        <f t="shared" si="0"/>
        <v>45</v>
      </c>
    </row>
    <row r="2" spans="1:45" ht="30.75" customHeight="1" thickBot="1" x14ac:dyDescent="0.3">
      <c r="A2" s="32"/>
      <c r="B2" s="33"/>
      <c r="C2" s="34"/>
      <c r="D2" s="34"/>
      <c r="E2" s="34"/>
      <c r="F2" s="34"/>
      <c r="G2" s="32" t="s">
        <v>175</v>
      </c>
      <c r="H2" s="34"/>
      <c r="I2" s="34"/>
      <c r="J2" s="34"/>
      <c r="K2" s="34"/>
      <c r="L2" s="34"/>
      <c r="N2" s="34"/>
      <c r="O2" s="34"/>
      <c r="P2" s="34"/>
      <c r="Q2" s="34"/>
      <c r="R2" s="34"/>
      <c r="S2" s="34"/>
      <c r="T2" s="34"/>
    </row>
    <row r="3" spans="1:45" ht="18" customHeight="1" x14ac:dyDescent="0.25">
      <c r="A3" s="36"/>
      <c r="B3" s="37" t="s">
        <v>30</v>
      </c>
      <c r="C3" s="38" t="s">
        <v>225</v>
      </c>
      <c r="D3" s="38"/>
      <c r="E3" s="39" t="s">
        <v>226</v>
      </c>
      <c r="F3" s="38"/>
      <c r="G3" s="38"/>
      <c r="H3" s="39" t="s">
        <v>165</v>
      </c>
      <c r="I3" s="38"/>
      <c r="J3" s="38"/>
      <c r="K3" s="38"/>
      <c r="L3" s="38" t="s">
        <v>23</v>
      </c>
      <c r="M3" s="38"/>
      <c r="N3" s="38"/>
      <c r="O3" s="40" t="s">
        <v>227</v>
      </c>
      <c r="P3" s="41" t="s">
        <v>25</v>
      </c>
      <c r="Q3" s="41" t="s">
        <v>26</v>
      </c>
      <c r="R3" s="179" t="s">
        <v>177</v>
      </c>
      <c r="S3" s="179"/>
      <c r="T3" s="42"/>
    </row>
    <row r="4" spans="1:45" s="51" customFormat="1" ht="18" hidden="1" customHeight="1" x14ac:dyDescent="0.25">
      <c r="A4" s="43">
        <f>A3</f>
        <v>0</v>
      </c>
      <c r="B4" s="44" t="s">
        <v>30</v>
      </c>
      <c r="C4" s="45" t="s">
        <v>21</v>
      </c>
      <c r="D4" s="45" t="s">
        <v>30</v>
      </c>
      <c r="E4" s="45" t="s">
        <v>21</v>
      </c>
      <c r="F4" s="45" t="s">
        <v>30</v>
      </c>
      <c r="G4" s="45" t="s">
        <v>30</v>
      </c>
      <c r="H4" s="46" t="s">
        <v>22</v>
      </c>
      <c r="I4" s="45" t="s">
        <v>30</v>
      </c>
      <c r="J4" s="45" t="s">
        <v>30</v>
      </c>
      <c r="K4" s="45" t="s">
        <v>30</v>
      </c>
      <c r="L4" s="45" t="s">
        <v>23</v>
      </c>
      <c r="M4" s="45" t="s">
        <v>30</v>
      </c>
      <c r="N4" s="45" t="s">
        <v>30</v>
      </c>
      <c r="O4" s="47" t="s">
        <v>24</v>
      </c>
      <c r="P4" s="45" t="s">
        <v>25</v>
      </c>
      <c r="Q4" s="45" t="s">
        <v>26</v>
      </c>
      <c r="R4" s="48"/>
      <c r="S4" s="49"/>
      <c r="T4" s="50"/>
    </row>
    <row r="5" spans="1:45" s="65" customFormat="1" ht="43.5" customHeight="1" thickBot="1" x14ac:dyDescent="0.3">
      <c r="A5" s="52"/>
      <c r="B5" s="53"/>
      <c r="C5" s="54" t="s">
        <v>6</v>
      </c>
      <c r="D5" s="55"/>
      <c r="E5" s="56" t="s">
        <v>186</v>
      </c>
      <c r="F5" s="55"/>
      <c r="G5" s="55"/>
      <c r="H5" s="57" t="s">
        <v>197</v>
      </c>
      <c r="I5" s="55"/>
      <c r="J5" s="55"/>
      <c r="K5" s="55"/>
      <c r="L5" s="58"/>
      <c r="M5" s="59"/>
      <c r="N5" s="59"/>
      <c r="O5" s="60">
        <v>44116</v>
      </c>
      <c r="P5" s="80"/>
      <c r="Q5" s="81"/>
      <c r="R5" s="61"/>
      <c r="S5" s="62"/>
      <c r="T5" s="63"/>
      <c r="U5" s="64"/>
      <c r="V5" s="64"/>
      <c r="W5" s="64"/>
      <c r="X5" s="64"/>
      <c r="AO5" s="64"/>
    </row>
    <row r="6" spans="1:45" s="67" customFormat="1" x14ac:dyDescent="0.25">
      <c r="A6" s="87"/>
      <c r="B6" s="88"/>
      <c r="C6" s="89"/>
      <c r="D6" s="89"/>
      <c r="E6" s="89"/>
      <c r="F6" s="89"/>
      <c r="G6" s="89"/>
      <c r="H6" s="89"/>
      <c r="I6" s="89"/>
      <c r="J6" s="89"/>
      <c r="K6" s="89"/>
      <c r="L6" s="89"/>
      <c r="M6" s="89"/>
      <c r="N6" s="89"/>
      <c r="O6" s="90"/>
      <c r="P6" s="91"/>
      <c r="Q6" s="91"/>
      <c r="R6" s="91"/>
      <c r="U6" s="66"/>
      <c r="V6" s="66"/>
      <c r="W6" s="66"/>
      <c r="X6" s="66"/>
      <c r="Y6" s="66"/>
      <c r="AO6" s="66"/>
      <c r="AP6" s="66"/>
      <c r="AQ6" s="66"/>
      <c r="AR6" s="66"/>
    </row>
    <row r="7" spans="1:45" s="67" customFormat="1" ht="21" x14ac:dyDescent="0.35">
      <c r="A7" s="92" t="s">
        <v>176</v>
      </c>
      <c r="B7" s="93"/>
      <c r="C7" s="94"/>
      <c r="D7" s="94"/>
      <c r="E7" s="94"/>
      <c r="F7" s="94"/>
      <c r="G7" s="94"/>
      <c r="H7" s="94"/>
      <c r="I7" s="94"/>
      <c r="J7" s="94"/>
      <c r="K7" s="94"/>
      <c r="L7" s="94"/>
      <c r="M7" s="94"/>
      <c r="N7" s="94"/>
      <c r="O7" s="95"/>
      <c r="P7" s="96"/>
      <c r="Q7" s="96"/>
      <c r="R7" s="96"/>
      <c r="U7" s="66"/>
      <c r="V7" s="66"/>
      <c r="W7" s="66"/>
      <c r="X7" s="66"/>
      <c r="Y7" s="66"/>
    </row>
    <row r="8" spans="1:45" s="67" customFormat="1" ht="30" x14ac:dyDescent="0.25">
      <c r="A8" s="97" t="s">
        <v>0</v>
      </c>
      <c r="B8" s="98"/>
      <c r="C8" s="99" t="s">
        <v>163</v>
      </c>
      <c r="D8" s="99"/>
      <c r="E8" s="99" t="s">
        <v>164</v>
      </c>
      <c r="F8" s="99"/>
      <c r="G8" s="99"/>
      <c r="H8" s="100" t="s">
        <v>165</v>
      </c>
      <c r="I8" s="99"/>
      <c r="J8" s="99"/>
      <c r="K8" s="99"/>
      <c r="L8" s="99" t="s">
        <v>23</v>
      </c>
      <c r="M8" s="99"/>
      <c r="N8" s="99"/>
      <c r="O8" s="101" t="s">
        <v>24</v>
      </c>
      <c r="P8" s="102" t="s">
        <v>25</v>
      </c>
      <c r="Q8" s="102" t="s">
        <v>26</v>
      </c>
      <c r="R8" s="103" t="s">
        <v>174</v>
      </c>
    </row>
    <row r="9" spans="1:45" s="75" customFormat="1" hidden="1" x14ac:dyDescent="0.25">
      <c r="A9" s="69" t="s">
        <v>0</v>
      </c>
      <c r="B9" s="68" t="s">
        <v>167</v>
      </c>
      <c r="C9" s="70" t="s">
        <v>163</v>
      </c>
      <c r="D9" s="70" t="s">
        <v>30</v>
      </c>
      <c r="E9" s="70" t="s">
        <v>164</v>
      </c>
      <c r="F9" s="70" t="s">
        <v>30</v>
      </c>
      <c r="G9" s="70" t="s">
        <v>30</v>
      </c>
      <c r="H9" s="71" t="s">
        <v>165</v>
      </c>
      <c r="I9" s="70" t="s">
        <v>30</v>
      </c>
      <c r="J9" s="70" t="s">
        <v>30</v>
      </c>
      <c r="K9" s="70" t="s">
        <v>30</v>
      </c>
      <c r="L9" s="70" t="s">
        <v>23</v>
      </c>
      <c r="M9" s="70" t="s">
        <v>30</v>
      </c>
      <c r="N9" s="70" t="s">
        <v>30</v>
      </c>
      <c r="O9" s="72" t="s">
        <v>24</v>
      </c>
      <c r="P9" s="73" t="s">
        <v>25</v>
      </c>
      <c r="Q9" s="73" t="s">
        <v>26</v>
      </c>
      <c r="R9" s="74" t="s">
        <v>170</v>
      </c>
    </row>
    <row r="10" spans="1:45" x14ac:dyDescent="0.25">
      <c r="A10" s="83">
        <v>1</v>
      </c>
      <c r="B10" s="84"/>
      <c r="C10" s="85" t="s">
        <v>5</v>
      </c>
      <c r="D10" s="85"/>
      <c r="E10" s="85" t="s">
        <v>105</v>
      </c>
      <c r="F10" s="85"/>
      <c r="G10" s="85"/>
      <c r="H10" s="85" t="s">
        <v>53</v>
      </c>
      <c r="I10" s="85"/>
      <c r="J10" s="85"/>
      <c r="K10" s="85"/>
      <c r="L10" s="85"/>
      <c r="M10" s="77"/>
      <c r="N10" s="77"/>
      <c r="O10" s="78">
        <v>44112</v>
      </c>
      <c r="P10" s="79">
        <v>0.58712962962962967</v>
      </c>
      <c r="Q10" s="79">
        <v>0.58714120370370371</v>
      </c>
      <c r="R10" s="82">
        <f>IFERROR(IF((Q10-P10)=0,"",HOUR(Q10-P10)+MINUTE(Q10-P10)/60),"")</f>
        <v>0</v>
      </c>
    </row>
    <row r="11" spans="1:45" x14ac:dyDescent="0.25">
      <c r="A11" s="83">
        <f>IFERROR(IF(C11&lt;&gt;"",A10+1,""),A10)</f>
        <v>2</v>
      </c>
      <c r="B11" s="84"/>
      <c r="C11" s="85" t="s">
        <v>4</v>
      </c>
      <c r="D11" s="85"/>
      <c r="E11" s="85" t="s">
        <v>233</v>
      </c>
      <c r="F11" s="85"/>
      <c r="G11" s="85"/>
      <c r="H11" s="85" t="s">
        <v>57</v>
      </c>
      <c r="I11" s="85"/>
      <c r="J11" s="85"/>
      <c r="K11" s="85"/>
      <c r="L11" s="85"/>
      <c r="M11" s="77"/>
      <c r="N11" s="77"/>
      <c r="O11" s="78">
        <v>44112</v>
      </c>
      <c r="P11" s="79">
        <v>0.58725694444444443</v>
      </c>
      <c r="Q11" s="79">
        <v>0.58726851851851858</v>
      </c>
      <c r="R11" s="82">
        <f t="shared" ref="R11:R74" si="1">IFERROR(IF((Q11-P11)=0,"",HOUR(Q11-P11)+MINUTE(Q11-P11)/60),"")</f>
        <v>0</v>
      </c>
    </row>
    <row r="12" spans="1:45" x14ac:dyDescent="0.25">
      <c r="A12" s="83">
        <f>IFERROR(IF(C12&lt;&gt;"",A11+1,""),MAX($A$10:A11)+1)</f>
        <v>3</v>
      </c>
      <c r="B12" s="84"/>
      <c r="C12" s="85" t="s">
        <v>7</v>
      </c>
      <c r="D12" s="85"/>
      <c r="E12" s="85" t="s">
        <v>86</v>
      </c>
      <c r="F12" s="85"/>
      <c r="G12" s="85"/>
      <c r="H12" s="85" t="s">
        <v>53</v>
      </c>
      <c r="I12" s="85"/>
      <c r="J12" s="85"/>
      <c r="K12" s="85"/>
      <c r="L12" s="85"/>
      <c r="M12" s="77"/>
      <c r="N12" s="77"/>
      <c r="O12" s="78">
        <v>44112</v>
      </c>
      <c r="P12" s="79">
        <v>0.58738425925925919</v>
      </c>
      <c r="Q12" s="79">
        <v>0.58739583333333334</v>
      </c>
      <c r="R12" s="82">
        <f t="shared" si="1"/>
        <v>0</v>
      </c>
    </row>
    <row r="13" spans="1:45" x14ac:dyDescent="0.25">
      <c r="A13" s="83">
        <f>IFERROR(IF(C13&lt;&gt;"",A12+1,""),MAX($A$10:A12)+1)</f>
        <v>4</v>
      </c>
      <c r="B13" s="84"/>
      <c r="C13" s="85" t="s">
        <v>6</v>
      </c>
      <c r="D13" s="85"/>
      <c r="E13" s="85" t="s">
        <v>51</v>
      </c>
      <c r="F13" s="85"/>
      <c r="G13" s="85"/>
      <c r="H13" s="85" t="s">
        <v>53</v>
      </c>
      <c r="I13" s="85"/>
      <c r="J13" s="85"/>
      <c r="K13" s="85"/>
      <c r="L13" s="85"/>
      <c r="M13" s="77"/>
      <c r="N13" s="77"/>
      <c r="O13" s="78">
        <v>44112</v>
      </c>
      <c r="P13" s="79">
        <v>0.58748842592592598</v>
      </c>
      <c r="Q13" s="79">
        <v>0.58761574074074074</v>
      </c>
      <c r="R13" s="82">
        <f t="shared" si="1"/>
        <v>0</v>
      </c>
    </row>
    <row r="14" spans="1:45" x14ac:dyDescent="0.25">
      <c r="A14" s="83">
        <f>IFERROR(IF(C14&lt;&gt;"",A13+1,""),MAX($A$10:A13)+1)</f>
        <v>5</v>
      </c>
      <c r="B14" s="84"/>
      <c r="C14" s="85" t="s">
        <v>240</v>
      </c>
      <c r="D14" s="85"/>
      <c r="E14" s="85" t="s">
        <v>178</v>
      </c>
      <c r="F14" s="85"/>
      <c r="G14" s="85"/>
      <c r="H14" s="85" t="s">
        <v>53</v>
      </c>
      <c r="I14" s="85"/>
      <c r="J14" s="85"/>
      <c r="K14" s="85"/>
      <c r="L14" s="85" t="s">
        <v>257</v>
      </c>
      <c r="M14" s="77"/>
      <c r="N14" s="77"/>
      <c r="O14" s="78">
        <v>44113</v>
      </c>
      <c r="P14" s="79">
        <v>0.63778935185185182</v>
      </c>
      <c r="Q14" s="79">
        <v>0.63793981481481488</v>
      </c>
      <c r="R14" s="82">
        <f t="shared" si="1"/>
        <v>0</v>
      </c>
    </row>
    <row r="15" spans="1:45" x14ac:dyDescent="0.25">
      <c r="A15" s="83">
        <f>IFERROR(IF(C15&lt;&gt;"",A14+1,""),MAX($A$10:A14)+1)</f>
        <v>6</v>
      </c>
      <c r="B15" s="84"/>
      <c r="C15" s="85" t="s">
        <v>240</v>
      </c>
      <c r="D15" s="85"/>
      <c r="E15" s="85" t="s">
        <v>242</v>
      </c>
      <c r="F15" s="85"/>
      <c r="G15" s="85"/>
      <c r="H15" s="85" t="s">
        <v>53</v>
      </c>
      <c r="I15" s="85"/>
      <c r="J15" s="85"/>
      <c r="K15" s="85"/>
      <c r="L15" s="85"/>
      <c r="M15" s="77"/>
      <c r="N15" s="77"/>
      <c r="O15" s="78">
        <v>44116</v>
      </c>
      <c r="P15" s="79">
        <v>0.57420138888888894</v>
      </c>
      <c r="Q15" s="79">
        <v>0.57421296296296298</v>
      </c>
      <c r="R15" s="82">
        <f t="shared" si="1"/>
        <v>0</v>
      </c>
    </row>
    <row r="16" spans="1:45" x14ac:dyDescent="0.25">
      <c r="A16" s="83" t="str">
        <f>IFERROR(IF(C16&lt;&gt;"",A15+1,""),MAX($A$10:A15)+1)</f>
        <v/>
      </c>
      <c r="B16" s="84"/>
      <c r="C16" s="85"/>
      <c r="D16" s="85"/>
      <c r="E16" s="85"/>
      <c r="F16" s="85"/>
      <c r="G16" s="85"/>
      <c r="H16" s="85"/>
      <c r="I16" s="85"/>
      <c r="J16" s="85"/>
      <c r="K16" s="85"/>
      <c r="L16" s="85"/>
      <c r="M16" s="77"/>
      <c r="N16" s="77"/>
      <c r="O16" s="78"/>
      <c r="P16" s="79"/>
      <c r="Q16" s="79"/>
      <c r="R16" s="82" t="str">
        <f t="shared" si="1"/>
        <v/>
      </c>
    </row>
    <row r="17" spans="1:18" x14ac:dyDescent="0.25">
      <c r="A17" s="83" t="str">
        <f>IFERROR(IF(C17&lt;&gt;"",A16+1,""),MAX($A$10:A16)+1)</f>
        <v/>
      </c>
      <c r="B17" s="84"/>
      <c r="C17" s="85"/>
      <c r="D17" s="85"/>
      <c r="E17" s="85"/>
      <c r="F17" s="85"/>
      <c r="G17" s="85"/>
      <c r="H17" s="85"/>
      <c r="I17" s="85"/>
      <c r="J17" s="85"/>
      <c r="K17" s="85"/>
      <c r="L17" s="85"/>
      <c r="M17" s="77"/>
      <c r="N17" s="77"/>
      <c r="O17" s="78"/>
      <c r="P17" s="79"/>
      <c r="Q17" s="79"/>
      <c r="R17" s="82" t="str">
        <f t="shared" si="1"/>
        <v/>
      </c>
    </row>
    <row r="18" spans="1:18" x14ac:dyDescent="0.25">
      <c r="A18" s="83" t="str">
        <f>IFERROR(IF(C18&lt;&gt;"",A17+1,""),MAX($A$10:A17)+1)</f>
        <v/>
      </c>
      <c r="B18" s="84"/>
      <c r="C18" s="85"/>
      <c r="D18" s="85"/>
      <c r="E18" s="85"/>
      <c r="F18" s="85"/>
      <c r="G18" s="85"/>
      <c r="H18" s="85"/>
      <c r="I18" s="85"/>
      <c r="J18" s="85"/>
      <c r="K18" s="85"/>
      <c r="L18" s="85"/>
      <c r="M18" s="77"/>
      <c r="N18" s="77"/>
      <c r="O18" s="78"/>
      <c r="P18" s="79"/>
      <c r="Q18" s="79"/>
      <c r="R18" s="82" t="str">
        <f t="shared" si="1"/>
        <v/>
      </c>
    </row>
    <row r="19" spans="1:18" x14ac:dyDescent="0.25">
      <c r="A19" s="83" t="str">
        <f>IFERROR(IF(C19&lt;&gt;"",A18+1,""),MAX($A$10:A18)+1)</f>
        <v/>
      </c>
      <c r="B19" s="84"/>
      <c r="C19" s="85"/>
      <c r="D19" s="85"/>
      <c r="E19" s="85"/>
      <c r="F19" s="85"/>
      <c r="G19" s="85"/>
      <c r="H19" s="85"/>
      <c r="I19" s="85"/>
      <c r="J19" s="85"/>
      <c r="K19" s="85"/>
      <c r="L19" s="85"/>
      <c r="M19" s="77"/>
      <c r="N19" s="77"/>
      <c r="O19" s="78"/>
      <c r="P19" s="79"/>
      <c r="Q19" s="79"/>
      <c r="R19" s="82" t="str">
        <f t="shared" si="1"/>
        <v/>
      </c>
    </row>
    <row r="20" spans="1:18" x14ac:dyDescent="0.25">
      <c r="A20" s="83" t="str">
        <f>IFERROR(IF(C20&lt;&gt;"",A19+1,""),MAX($A$10:A19)+1)</f>
        <v/>
      </c>
      <c r="B20" s="84"/>
      <c r="C20" s="85"/>
      <c r="D20" s="85"/>
      <c r="E20" s="85"/>
      <c r="F20" s="85"/>
      <c r="G20" s="85"/>
      <c r="H20" s="85"/>
      <c r="I20" s="85"/>
      <c r="J20" s="85"/>
      <c r="K20" s="85"/>
      <c r="L20" s="85"/>
      <c r="M20" s="77"/>
      <c r="N20" s="77"/>
      <c r="O20" s="78"/>
      <c r="P20" s="79"/>
      <c r="Q20" s="79"/>
      <c r="R20" s="82" t="str">
        <f t="shared" si="1"/>
        <v/>
      </c>
    </row>
    <row r="21" spans="1:18" x14ac:dyDescent="0.25">
      <c r="A21" s="83" t="str">
        <f>IFERROR(IF(C21&lt;&gt;"",A20+1,""),MAX($A$10:A20)+1)</f>
        <v/>
      </c>
      <c r="B21" s="84"/>
      <c r="C21" s="85"/>
      <c r="D21" s="85"/>
      <c r="E21" s="85"/>
      <c r="F21" s="85"/>
      <c r="G21" s="85"/>
      <c r="H21" s="85"/>
      <c r="I21" s="85"/>
      <c r="J21" s="85"/>
      <c r="K21" s="85"/>
      <c r="L21" s="85"/>
      <c r="M21" s="77"/>
      <c r="N21" s="77"/>
      <c r="O21" s="78"/>
      <c r="P21" s="79"/>
      <c r="Q21" s="79"/>
      <c r="R21" s="82" t="str">
        <f t="shared" si="1"/>
        <v/>
      </c>
    </row>
    <row r="22" spans="1:18" x14ac:dyDescent="0.25">
      <c r="A22" s="83" t="str">
        <f>IFERROR(IF(C22&lt;&gt;"",A21+1,""),MAX($A$10:A21)+1)</f>
        <v/>
      </c>
      <c r="B22" s="84"/>
      <c r="C22" s="85"/>
      <c r="D22" s="85"/>
      <c r="E22" s="85"/>
      <c r="F22" s="85"/>
      <c r="G22" s="85"/>
      <c r="H22" s="85"/>
      <c r="I22" s="85"/>
      <c r="J22" s="85"/>
      <c r="K22" s="85"/>
      <c r="L22" s="85"/>
      <c r="M22" s="77"/>
      <c r="N22" s="77"/>
      <c r="O22" s="78"/>
      <c r="P22" s="79"/>
      <c r="Q22" s="79"/>
      <c r="R22" s="82" t="str">
        <f t="shared" si="1"/>
        <v/>
      </c>
    </row>
    <row r="23" spans="1:18" x14ac:dyDescent="0.25">
      <c r="A23" s="83" t="str">
        <f>IFERROR(IF(C23&lt;&gt;"",A22+1,""),MAX($A$10:A22)+1)</f>
        <v/>
      </c>
      <c r="B23" s="84"/>
      <c r="C23" s="85"/>
      <c r="D23" s="85"/>
      <c r="E23" s="85"/>
      <c r="F23" s="85"/>
      <c r="G23" s="85"/>
      <c r="H23" s="85"/>
      <c r="I23" s="85"/>
      <c r="J23" s="85"/>
      <c r="K23" s="85"/>
      <c r="L23" s="85"/>
      <c r="M23" s="77"/>
      <c r="N23" s="77"/>
      <c r="O23" s="78"/>
      <c r="P23" s="79"/>
      <c r="Q23" s="79"/>
      <c r="R23" s="82" t="str">
        <f t="shared" si="1"/>
        <v/>
      </c>
    </row>
    <row r="24" spans="1:18" x14ac:dyDescent="0.25">
      <c r="A24" s="83" t="str">
        <f>IFERROR(IF(C24&lt;&gt;"",A23+1,""),MAX($A$10:A23)+1)</f>
        <v/>
      </c>
      <c r="B24" s="84"/>
      <c r="C24" s="85"/>
      <c r="D24" s="85"/>
      <c r="E24" s="85"/>
      <c r="F24" s="85"/>
      <c r="G24" s="85"/>
      <c r="H24" s="85"/>
      <c r="I24" s="85"/>
      <c r="J24" s="85"/>
      <c r="K24" s="85"/>
      <c r="L24" s="85"/>
      <c r="M24" s="77"/>
      <c r="N24" s="77"/>
      <c r="O24" s="78"/>
      <c r="P24" s="79"/>
      <c r="Q24" s="79"/>
      <c r="R24" s="82" t="str">
        <f t="shared" si="1"/>
        <v/>
      </c>
    </row>
    <row r="25" spans="1:18" x14ac:dyDescent="0.25">
      <c r="A25" s="83" t="str">
        <f>IFERROR(IF(C25&lt;&gt;"",A24+1,""),MAX($A$10:A24)+1)</f>
        <v/>
      </c>
      <c r="B25" s="84"/>
      <c r="C25" s="85"/>
      <c r="D25" s="85"/>
      <c r="E25" s="85"/>
      <c r="F25" s="85"/>
      <c r="G25" s="85"/>
      <c r="H25" s="85"/>
      <c r="I25" s="85"/>
      <c r="J25" s="85"/>
      <c r="K25" s="85"/>
      <c r="L25" s="85"/>
      <c r="M25" s="77"/>
      <c r="N25" s="77"/>
      <c r="O25" s="78"/>
      <c r="P25" s="79"/>
      <c r="Q25" s="79"/>
      <c r="R25" s="82" t="str">
        <f t="shared" si="1"/>
        <v/>
      </c>
    </row>
    <row r="26" spans="1:18" x14ac:dyDescent="0.25">
      <c r="A26" s="83" t="str">
        <f>IFERROR(IF(C26&lt;&gt;"",A25+1,""),MAX($A$10:A25)+1)</f>
        <v/>
      </c>
      <c r="B26" s="84"/>
      <c r="C26" s="85"/>
      <c r="D26" s="85"/>
      <c r="E26" s="85"/>
      <c r="F26" s="85"/>
      <c r="G26" s="85"/>
      <c r="H26" s="85"/>
      <c r="I26" s="85"/>
      <c r="J26" s="85"/>
      <c r="K26" s="85"/>
      <c r="L26" s="85"/>
      <c r="M26" s="77"/>
      <c r="N26" s="77"/>
      <c r="O26" s="78"/>
      <c r="P26" s="79"/>
      <c r="Q26" s="79"/>
      <c r="R26" s="82" t="str">
        <f t="shared" si="1"/>
        <v/>
      </c>
    </row>
    <row r="27" spans="1:18" x14ac:dyDescent="0.25">
      <c r="A27" s="83" t="str">
        <f>IFERROR(IF(C27&lt;&gt;"",A26+1,""),MAX($A$10:A26)+1)</f>
        <v/>
      </c>
      <c r="B27" s="84"/>
      <c r="C27" s="85"/>
      <c r="D27" s="85"/>
      <c r="E27" s="85"/>
      <c r="F27" s="85"/>
      <c r="G27" s="85"/>
      <c r="H27" s="85"/>
      <c r="I27" s="85"/>
      <c r="J27" s="85"/>
      <c r="K27" s="85"/>
      <c r="L27" s="85"/>
      <c r="M27" s="77"/>
      <c r="N27" s="77"/>
      <c r="O27" s="78"/>
      <c r="P27" s="79"/>
      <c r="Q27" s="79"/>
      <c r="R27" s="82" t="str">
        <f t="shared" si="1"/>
        <v/>
      </c>
    </row>
    <row r="28" spans="1:18" x14ac:dyDescent="0.25">
      <c r="A28" s="83" t="str">
        <f>IFERROR(IF(C28&lt;&gt;"",A27+1,""),MAX($A$10:A27)+1)</f>
        <v/>
      </c>
      <c r="B28" s="84"/>
      <c r="C28" s="85"/>
      <c r="D28" s="85"/>
      <c r="E28" s="85"/>
      <c r="F28" s="85"/>
      <c r="G28" s="85"/>
      <c r="H28" s="85"/>
      <c r="I28" s="85"/>
      <c r="J28" s="85"/>
      <c r="K28" s="85"/>
      <c r="L28" s="85"/>
      <c r="M28" s="77"/>
      <c r="N28" s="77"/>
      <c r="O28" s="78"/>
      <c r="P28" s="79"/>
      <c r="Q28" s="79"/>
      <c r="R28" s="82" t="str">
        <f t="shared" si="1"/>
        <v/>
      </c>
    </row>
    <row r="29" spans="1:18" x14ac:dyDescent="0.25">
      <c r="A29" s="83" t="str">
        <f>IFERROR(IF(C29&lt;&gt;"",A28+1,""),MAX($A$10:A28)+1)</f>
        <v/>
      </c>
      <c r="B29" s="84"/>
      <c r="C29" s="85"/>
      <c r="D29" s="85"/>
      <c r="E29" s="85"/>
      <c r="F29" s="85"/>
      <c r="G29" s="85"/>
      <c r="H29" s="85"/>
      <c r="I29" s="85"/>
      <c r="J29" s="85"/>
      <c r="K29" s="85"/>
      <c r="L29" s="85"/>
      <c r="M29" s="77"/>
      <c r="N29" s="77"/>
      <c r="O29" s="78"/>
      <c r="P29" s="79"/>
      <c r="Q29" s="79"/>
      <c r="R29" s="82" t="str">
        <f t="shared" si="1"/>
        <v/>
      </c>
    </row>
    <row r="30" spans="1:18" x14ac:dyDescent="0.25">
      <c r="A30" s="83" t="str">
        <f>IFERROR(IF(C30&lt;&gt;"",A29+1,""),MAX($A$10:A29)+1)</f>
        <v/>
      </c>
      <c r="B30" s="84"/>
      <c r="C30" s="85"/>
      <c r="D30" s="85"/>
      <c r="E30" s="85"/>
      <c r="F30" s="85"/>
      <c r="G30" s="85"/>
      <c r="H30" s="85"/>
      <c r="I30" s="85"/>
      <c r="J30" s="85"/>
      <c r="K30" s="85"/>
      <c r="L30" s="85"/>
      <c r="M30" s="77"/>
      <c r="N30" s="77"/>
      <c r="O30" s="78"/>
      <c r="P30" s="79"/>
      <c r="Q30" s="79"/>
      <c r="R30" s="82" t="str">
        <f t="shared" si="1"/>
        <v/>
      </c>
    </row>
    <row r="31" spans="1:18" x14ac:dyDescent="0.25">
      <c r="A31" s="83" t="str">
        <f>IFERROR(IF(C31&lt;&gt;"",A30+1,""),MAX($A$10:A30)+1)</f>
        <v/>
      </c>
      <c r="B31" s="84"/>
      <c r="C31" s="85"/>
      <c r="D31" s="85"/>
      <c r="E31" s="85"/>
      <c r="F31" s="85"/>
      <c r="G31" s="85"/>
      <c r="H31" s="85"/>
      <c r="I31" s="85"/>
      <c r="J31" s="85"/>
      <c r="K31" s="85"/>
      <c r="L31" s="85"/>
      <c r="M31" s="77"/>
      <c r="N31" s="77"/>
      <c r="O31" s="78"/>
      <c r="P31" s="79"/>
      <c r="Q31" s="79"/>
      <c r="R31" s="82" t="str">
        <f t="shared" si="1"/>
        <v/>
      </c>
    </row>
    <row r="32" spans="1:18" x14ac:dyDescent="0.25">
      <c r="A32" s="83" t="str">
        <f>IFERROR(IF(C32&lt;&gt;"",A31+1,""),MAX($A$10:A31)+1)</f>
        <v/>
      </c>
      <c r="B32" s="84"/>
      <c r="C32" s="85"/>
      <c r="D32" s="85"/>
      <c r="E32" s="85"/>
      <c r="F32" s="85"/>
      <c r="G32" s="85"/>
      <c r="H32" s="85"/>
      <c r="I32" s="85"/>
      <c r="J32" s="85"/>
      <c r="K32" s="85"/>
      <c r="L32" s="85"/>
      <c r="M32" s="77"/>
      <c r="N32" s="77"/>
      <c r="O32" s="78"/>
      <c r="P32" s="79"/>
      <c r="Q32" s="79"/>
      <c r="R32" s="82" t="str">
        <f t="shared" si="1"/>
        <v/>
      </c>
    </row>
    <row r="33" spans="1:18" x14ac:dyDescent="0.25">
      <c r="A33" s="83" t="str">
        <f>IFERROR(IF(C33&lt;&gt;"",A32+1,""),MAX($A$10:A32)+1)</f>
        <v/>
      </c>
      <c r="B33" s="84"/>
      <c r="C33" s="85"/>
      <c r="D33" s="85"/>
      <c r="E33" s="85"/>
      <c r="F33" s="85"/>
      <c r="G33" s="85"/>
      <c r="H33" s="85"/>
      <c r="I33" s="85"/>
      <c r="J33" s="85"/>
      <c r="K33" s="85"/>
      <c r="L33" s="85"/>
      <c r="M33" s="77"/>
      <c r="N33" s="77"/>
      <c r="O33" s="78"/>
      <c r="P33" s="79"/>
      <c r="Q33" s="79"/>
      <c r="R33" s="82" t="str">
        <f t="shared" si="1"/>
        <v/>
      </c>
    </row>
    <row r="34" spans="1:18" x14ac:dyDescent="0.25">
      <c r="A34" s="83" t="str">
        <f>IFERROR(IF(C34&lt;&gt;"",A33+1,""),MAX($A$10:A33)+1)</f>
        <v/>
      </c>
      <c r="B34" s="84"/>
      <c r="C34" s="85"/>
      <c r="D34" s="85"/>
      <c r="E34" s="85"/>
      <c r="F34" s="85"/>
      <c r="G34" s="85"/>
      <c r="H34" s="85"/>
      <c r="I34" s="85"/>
      <c r="J34" s="85"/>
      <c r="K34" s="85"/>
      <c r="L34" s="85"/>
      <c r="M34" s="77"/>
      <c r="N34" s="77"/>
      <c r="O34" s="78"/>
      <c r="P34" s="79"/>
      <c r="Q34" s="79"/>
      <c r="R34" s="82" t="str">
        <f t="shared" si="1"/>
        <v/>
      </c>
    </row>
    <row r="35" spans="1:18" x14ac:dyDescent="0.25">
      <c r="A35" s="83" t="str">
        <f>IFERROR(IF(C35&lt;&gt;"",A34+1,""),MAX($A$10:A34)+1)</f>
        <v/>
      </c>
      <c r="B35" s="84"/>
      <c r="C35" s="85"/>
      <c r="D35" s="85"/>
      <c r="E35" s="85"/>
      <c r="F35" s="85"/>
      <c r="G35" s="85"/>
      <c r="H35" s="85"/>
      <c r="I35" s="85"/>
      <c r="J35" s="85"/>
      <c r="K35" s="85"/>
      <c r="L35" s="85"/>
      <c r="M35" s="77"/>
      <c r="N35" s="77"/>
      <c r="O35" s="78"/>
      <c r="P35" s="79"/>
      <c r="Q35" s="79"/>
      <c r="R35" s="82" t="str">
        <f t="shared" si="1"/>
        <v/>
      </c>
    </row>
    <row r="36" spans="1:18" x14ac:dyDescent="0.25">
      <c r="A36" s="83" t="str">
        <f>IFERROR(IF(C36&lt;&gt;"",A35+1,""),MAX($A$10:A35)+1)</f>
        <v/>
      </c>
      <c r="B36" s="86"/>
      <c r="C36" s="85"/>
      <c r="D36" s="85"/>
      <c r="E36" s="85"/>
      <c r="F36" s="85"/>
      <c r="G36" s="85"/>
      <c r="H36" s="85"/>
      <c r="I36" s="85"/>
      <c r="J36" s="85"/>
      <c r="K36" s="85"/>
      <c r="L36" s="85"/>
      <c r="M36" s="77"/>
      <c r="N36" s="77"/>
      <c r="O36" s="78"/>
      <c r="P36" s="79"/>
      <c r="Q36" s="79"/>
      <c r="R36" s="82" t="str">
        <f t="shared" si="1"/>
        <v/>
      </c>
    </row>
    <row r="37" spans="1:18" x14ac:dyDescent="0.25">
      <c r="A37" s="83" t="str">
        <f>IFERROR(IF(C37&lt;&gt;"",A36+1,""),MAX($A$10:A36)+1)</f>
        <v/>
      </c>
      <c r="B37" s="86"/>
      <c r="C37" s="85"/>
      <c r="D37" s="85"/>
      <c r="E37" s="85"/>
      <c r="F37" s="85"/>
      <c r="G37" s="85"/>
      <c r="H37" s="85"/>
      <c r="I37" s="85"/>
      <c r="J37" s="85"/>
      <c r="K37" s="85"/>
      <c r="L37" s="85"/>
      <c r="M37" s="77"/>
      <c r="N37" s="77"/>
      <c r="O37" s="78"/>
      <c r="P37" s="79"/>
      <c r="Q37" s="79"/>
      <c r="R37" s="82" t="str">
        <f t="shared" si="1"/>
        <v/>
      </c>
    </row>
    <row r="38" spans="1:18" x14ac:dyDescent="0.25">
      <c r="A38" s="83" t="str">
        <f>IFERROR(IF(C38&lt;&gt;"",A37+1,""),MAX($A$10:A37)+1)</f>
        <v/>
      </c>
      <c r="B38" s="86"/>
      <c r="C38" s="85"/>
      <c r="D38" s="85"/>
      <c r="E38" s="85"/>
      <c r="F38" s="85"/>
      <c r="G38" s="85"/>
      <c r="H38" s="85"/>
      <c r="I38" s="85"/>
      <c r="J38" s="85"/>
      <c r="K38" s="85"/>
      <c r="L38" s="85"/>
      <c r="M38" s="77"/>
      <c r="N38" s="77"/>
      <c r="O38" s="78"/>
      <c r="P38" s="79"/>
      <c r="Q38" s="79"/>
      <c r="R38" s="82" t="str">
        <f t="shared" si="1"/>
        <v/>
      </c>
    </row>
    <row r="39" spans="1:18" x14ac:dyDescent="0.25">
      <c r="A39" s="83" t="str">
        <f>IFERROR(IF(C39&lt;&gt;"",A38+1,""),MAX($A$10:A38)+1)</f>
        <v/>
      </c>
      <c r="B39" s="86"/>
      <c r="C39" s="85"/>
      <c r="D39" s="85"/>
      <c r="E39" s="85"/>
      <c r="F39" s="85"/>
      <c r="G39" s="85"/>
      <c r="H39" s="85"/>
      <c r="I39" s="85"/>
      <c r="J39" s="85"/>
      <c r="K39" s="85"/>
      <c r="L39" s="85"/>
      <c r="M39" s="77"/>
      <c r="N39" s="77"/>
      <c r="O39" s="78"/>
      <c r="P39" s="79"/>
      <c r="Q39" s="79"/>
      <c r="R39" s="82" t="str">
        <f t="shared" si="1"/>
        <v/>
      </c>
    </row>
    <row r="40" spans="1:18" x14ac:dyDescent="0.25">
      <c r="A40" s="83" t="str">
        <f>IFERROR(IF(C40&lt;&gt;"",A39+1,""),MAX($A$10:A39)+1)</f>
        <v/>
      </c>
      <c r="B40" s="86"/>
      <c r="C40" s="85"/>
      <c r="D40" s="85"/>
      <c r="E40" s="85"/>
      <c r="F40" s="85"/>
      <c r="G40" s="85"/>
      <c r="H40" s="85"/>
      <c r="I40" s="85"/>
      <c r="J40" s="85"/>
      <c r="K40" s="85"/>
      <c r="L40" s="85"/>
      <c r="M40" s="77"/>
      <c r="N40" s="77"/>
      <c r="O40" s="78"/>
      <c r="P40" s="79"/>
      <c r="Q40" s="79"/>
      <c r="R40" s="82" t="str">
        <f t="shared" si="1"/>
        <v/>
      </c>
    </row>
    <row r="41" spans="1:18" x14ac:dyDescent="0.25">
      <c r="A41" s="83" t="str">
        <f>IFERROR(IF(C41&lt;&gt;"",A40+1,""),MAX($A$10:A40)+1)</f>
        <v/>
      </c>
      <c r="B41" s="86"/>
      <c r="C41" s="85"/>
      <c r="D41" s="85"/>
      <c r="E41" s="85"/>
      <c r="F41" s="85"/>
      <c r="G41" s="85"/>
      <c r="H41" s="85"/>
      <c r="I41" s="85"/>
      <c r="J41" s="85"/>
      <c r="K41" s="85"/>
      <c r="L41" s="85"/>
      <c r="M41" s="77"/>
      <c r="N41" s="77"/>
      <c r="O41" s="78"/>
      <c r="P41" s="79"/>
      <c r="Q41" s="79"/>
      <c r="R41" s="82" t="str">
        <f t="shared" si="1"/>
        <v/>
      </c>
    </row>
    <row r="42" spans="1:18" x14ac:dyDescent="0.25">
      <c r="A42" s="83" t="str">
        <f>IFERROR(IF(C42&lt;&gt;"",A41+1,""),MAX($A$10:A41)+1)</f>
        <v/>
      </c>
      <c r="B42" s="86"/>
      <c r="C42" s="85"/>
      <c r="D42" s="85"/>
      <c r="E42" s="85"/>
      <c r="F42" s="85"/>
      <c r="G42" s="85"/>
      <c r="H42" s="85"/>
      <c r="I42" s="85"/>
      <c r="J42" s="85"/>
      <c r="K42" s="85"/>
      <c r="L42" s="85"/>
      <c r="M42" s="77"/>
      <c r="N42" s="77"/>
      <c r="O42" s="78"/>
      <c r="P42" s="79"/>
      <c r="Q42" s="79"/>
      <c r="R42" s="82" t="str">
        <f t="shared" si="1"/>
        <v/>
      </c>
    </row>
    <row r="43" spans="1:18" x14ac:dyDescent="0.25">
      <c r="A43" s="83" t="str">
        <f>IFERROR(IF(C43&lt;&gt;"",A42+1,""),MAX($A$10:A42)+1)</f>
        <v/>
      </c>
      <c r="B43" s="86"/>
      <c r="C43" s="85"/>
      <c r="D43" s="85"/>
      <c r="E43" s="85"/>
      <c r="F43" s="85"/>
      <c r="G43" s="85"/>
      <c r="H43" s="85"/>
      <c r="I43" s="85"/>
      <c r="J43" s="85"/>
      <c r="K43" s="85"/>
      <c r="L43" s="85"/>
      <c r="M43" s="77"/>
      <c r="N43" s="77"/>
      <c r="O43" s="78"/>
      <c r="P43" s="79"/>
      <c r="Q43" s="79"/>
      <c r="R43" s="82" t="str">
        <f t="shared" si="1"/>
        <v/>
      </c>
    </row>
    <row r="44" spans="1:18" x14ac:dyDescent="0.25">
      <c r="A44" s="83" t="str">
        <f>IFERROR(IF(C44&lt;&gt;"",A43+1,""),MAX($A$10:A43)+1)</f>
        <v/>
      </c>
      <c r="B44" s="86"/>
      <c r="C44" s="85"/>
      <c r="D44" s="85"/>
      <c r="E44" s="85"/>
      <c r="F44" s="85"/>
      <c r="G44" s="85"/>
      <c r="H44" s="85"/>
      <c r="I44" s="85"/>
      <c r="J44" s="85"/>
      <c r="K44" s="85"/>
      <c r="L44" s="85"/>
      <c r="M44" s="77"/>
      <c r="N44" s="77"/>
      <c r="O44" s="78"/>
      <c r="P44" s="79"/>
      <c r="Q44" s="79"/>
      <c r="R44" s="82" t="str">
        <f t="shared" si="1"/>
        <v/>
      </c>
    </row>
    <row r="45" spans="1:18" x14ac:dyDescent="0.25">
      <c r="A45" s="83" t="str">
        <f>IFERROR(IF(C45&lt;&gt;"",A44+1,""),MAX($A$10:A44)+1)</f>
        <v/>
      </c>
      <c r="B45" s="86"/>
      <c r="C45" s="85"/>
      <c r="D45" s="85"/>
      <c r="E45" s="85"/>
      <c r="F45" s="85"/>
      <c r="G45" s="85"/>
      <c r="H45" s="85"/>
      <c r="I45" s="85"/>
      <c r="J45" s="85"/>
      <c r="K45" s="85"/>
      <c r="L45" s="85"/>
      <c r="M45" s="77"/>
      <c r="N45" s="77"/>
      <c r="O45" s="78"/>
      <c r="P45" s="79"/>
      <c r="Q45" s="79"/>
      <c r="R45" s="82" t="str">
        <f t="shared" si="1"/>
        <v/>
      </c>
    </row>
    <row r="46" spans="1:18" x14ac:dyDescent="0.25">
      <c r="A46" s="83" t="str">
        <f>IFERROR(IF(C46&lt;&gt;"",A45+1,""),MAX($A$10:A45)+1)</f>
        <v/>
      </c>
      <c r="B46" s="86"/>
      <c r="C46" s="85"/>
      <c r="D46" s="85"/>
      <c r="E46" s="85"/>
      <c r="F46" s="85"/>
      <c r="G46" s="85"/>
      <c r="H46" s="85"/>
      <c r="I46" s="85"/>
      <c r="J46" s="85"/>
      <c r="K46" s="85"/>
      <c r="L46" s="85"/>
      <c r="M46" s="77"/>
      <c r="N46" s="77"/>
      <c r="O46" s="78"/>
      <c r="P46" s="79"/>
      <c r="Q46" s="79"/>
      <c r="R46" s="82" t="str">
        <f t="shared" si="1"/>
        <v/>
      </c>
    </row>
    <row r="47" spans="1:18" x14ac:dyDescent="0.25">
      <c r="A47" s="83" t="str">
        <f>IFERROR(IF(C47&lt;&gt;"",A46+1,""),MAX($A$10:A46)+1)</f>
        <v/>
      </c>
      <c r="B47" s="86"/>
      <c r="C47" s="85"/>
      <c r="D47" s="85"/>
      <c r="E47" s="85"/>
      <c r="F47" s="85"/>
      <c r="G47" s="85"/>
      <c r="H47" s="85"/>
      <c r="I47" s="85"/>
      <c r="J47" s="85"/>
      <c r="K47" s="85"/>
      <c r="L47" s="85"/>
      <c r="M47" s="77"/>
      <c r="N47" s="77"/>
      <c r="O47" s="78"/>
      <c r="P47" s="79"/>
      <c r="Q47" s="79"/>
      <c r="R47" s="82" t="str">
        <f t="shared" si="1"/>
        <v/>
      </c>
    </row>
    <row r="48" spans="1:18" x14ac:dyDescent="0.25">
      <c r="A48" s="83" t="str">
        <f>IFERROR(IF(C48&lt;&gt;"",A47+1,""),MAX($A$10:A47)+1)</f>
        <v/>
      </c>
      <c r="B48" s="86"/>
      <c r="C48" s="85"/>
      <c r="D48" s="85"/>
      <c r="E48" s="85"/>
      <c r="F48" s="85"/>
      <c r="G48" s="85"/>
      <c r="H48" s="85"/>
      <c r="I48" s="85"/>
      <c r="J48" s="85"/>
      <c r="K48" s="85"/>
      <c r="L48" s="85"/>
      <c r="M48" s="77"/>
      <c r="N48" s="77"/>
      <c r="O48" s="78"/>
      <c r="P48" s="79"/>
      <c r="Q48" s="79"/>
      <c r="R48" s="82" t="str">
        <f t="shared" si="1"/>
        <v/>
      </c>
    </row>
    <row r="49" spans="1:18" x14ac:dyDescent="0.25">
      <c r="A49" s="83" t="str">
        <f>IFERROR(IF(C49&lt;&gt;"",A48+1,""),MAX($A$10:A48)+1)</f>
        <v/>
      </c>
      <c r="B49" s="86"/>
      <c r="C49" s="85"/>
      <c r="D49" s="85"/>
      <c r="E49" s="85"/>
      <c r="F49" s="85"/>
      <c r="G49" s="85"/>
      <c r="H49" s="85"/>
      <c r="I49" s="85"/>
      <c r="J49" s="85"/>
      <c r="K49" s="85"/>
      <c r="L49" s="85"/>
      <c r="M49" s="77"/>
      <c r="N49" s="77"/>
      <c r="O49" s="78"/>
      <c r="P49" s="79"/>
      <c r="Q49" s="79"/>
      <c r="R49" s="82" t="str">
        <f t="shared" si="1"/>
        <v/>
      </c>
    </row>
    <row r="50" spans="1:18" x14ac:dyDescent="0.25">
      <c r="A50" s="83" t="str">
        <f>IFERROR(IF(C50&lt;&gt;"",A49+1,""),MAX($A$10:A49)+1)</f>
        <v/>
      </c>
      <c r="B50" s="86"/>
      <c r="C50" s="85"/>
      <c r="D50" s="85"/>
      <c r="E50" s="85"/>
      <c r="F50" s="85"/>
      <c r="G50" s="85"/>
      <c r="H50" s="85"/>
      <c r="I50" s="85"/>
      <c r="J50" s="85"/>
      <c r="K50" s="85"/>
      <c r="L50" s="85"/>
      <c r="M50" s="77"/>
      <c r="N50" s="77"/>
      <c r="O50" s="78"/>
      <c r="P50" s="79"/>
      <c r="Q50" s="79"/>
      <c r="R50" s="82" t="str">
        <f t="shared" si="1"/>
        <v/>
      </c>
    </row>
    <row r="51" spans="1:18" x14ac:dyDescent="0.25">
      <c r="A51" s="83" t="str">
        <f>IFERROR(IF(C51&lt;&gt;"",A50+1,""),MAX($A$10:A50)+1)</f>
        <v/>
      </c>
      <c r="B51" s="86"/>
      <c r="C51" s="85"/>
      <c r="D51" s="85"/>
      <c r="E51" s="85"/>
      <c r="F51" s="85"/>
      <c r="G51" s="85"/>
      <c r="H51" s="85"/>
      <c r="I51" s="85"/>
      <c r="J51" s="85"/>
      <c r="K51" s="85"/>
      <c r="L51" s="85"/>
      <c r="M51" s="77"/>
      <c r="N51" s="77"/>
      <c r="O51" s="78"/>
      <c r="P51" s="79"/>
      <c r="Q51" s="79"/>
      <c r="R51" s="82" t="str">
        <f t="shared" si="1"/>
        <v/>
      </c>
    </row>
    <row r="52" spans="1:18" x14ac:dyDescent="0.25">
      <c r="A52" s="83" t="str">
        <f>IFERROR(IF(C52&lt;&gt;"",A51+1,""),MAX($A$10:A51)+1)</f>
        <v/>
      </c>
      <c r="B52" s="86"/>
      <c r="C52" s="85"/>
      <c r="D52" s="85"/>
      <c r="E52" s="85"/>
      <c r="F52" s="85"/>
      <c r="G52" s="85"/>
      <c r="H52" s="85"/>
      <c r="I52" s="85"/>
      <c r="J52" s="85"/>
      <c r="K52" s="85"/>
      <c r="L52" s="85"/>
      <c r="M52" s="77"/>
      <c r="N52" s="77"/>
      <c r="O52" s="78"/>
      <c r="P52" s="79"/>
      <c r="Q52" s="79"/>
      <c r="R52" s="82" t="str">
        <f t="shared" si="1"/>
        <v/>
      </c>
    </row>
    <row r="53" spans="1:18" x14ac:dyDescent="0.25">
      <c r="A53" s="83" t="str">
        <f>IFERROR(IF(C53&lt;&gt;"",A52+1,""),MAX($A$10:A52)+1)</f>
        <v/>
      </c>
      <c r="B53" s="86"/>
      <c r="C53" s="85"/>
      <c r="D53" s="85"/>
      <c r="E53" s="85"/>
      <c r="F53" s="85"/>
      <c r="G53" s="85"/>
      <c r="H53" s="85"/>
      <c r="I53" s="85"/>
      <c r="J53" s="85"/>
      <c r="K53" s="85"/>
      <c r="L53" s="85"/>
      <c r="M53" s="77"/>
      <c r="N53" s="77"/>
      <c r="O53" s="78"/>
      <c r="P53" s="79"/>
      <c r="Q53" s="79"/>
      <c r="R53" s="82" t="str">
        <f t="shared" si="1"/>
        <v/>
      </c>
    </row>
    <row r="54" spans="1:18" x14ac:dyDescent="0.25">
      <c r="A54" s="83" t="str">
        <f>IFERROR(IF(C54&lt;&gt;"",A53+1,""),MAX($A$10:A53)+1)</f>
        <v/>
      </c>
      <c r="B54" s="86"/>
      <c r="C54" s="85"/>
      <c r="D54" s="85"/>
      <c r="E54" s="85"/>
      <c r="F54" s="85"/>
      <c r="G54" s="85"/>
      <c r="H54" s="85"/>
      <c r="I54" s="85"/>
      <c r="J54" s="85"/>
      <c r="K54" s="85"/>
      <c r="L54" s="85"/>
      <c r="M54" s="77"/>
      <c r="N54" s="77"/>
      <c r="O54" s="78"/>
      <c r="P54" s="79"/>
      <c r="Q54" s="79"/>
      <c r="R54" s="82" t="str">
        <f t="shared" si="1"/>
        <v/>
      </c>
    </row>
    <row r="55" spans="1:18" x14ac:dyDescent="0.25">
      <c r="A55" s="83" t="str">
        <f>IFERROR(IF(C55&lt;&gt;"",A54+1,""),MAX($A$10:A54)+1)</f>
        <v/>
      </c>
      <c r="B55" s="86"/>
      <c r="C55" s="85"/>
      <c r="D55" s="85"/>
      <c r="E55" s="85"/>
      <c r="F55" s="85"/>
      <c r="G55" s="85"/>
      <c r="H55" s="85"/>
      <c r="I55" s="85"/>
      <c r="J55" s="85"/>
      <c r="K55" s="85"/>
      <c r="L55" s="85"/>
      <c r="M55" s="77"/>
      <c r="N55" s="77"/>
      <c r="O55" s="78"/>
      <c r="P55" s="79"/>
      <c r="Q55" s="79"/>
      <c r="R55" s="82" t="str">
        <f t="shared" si="1"/>
        <v/>
      </c>
    </row>
    <row r="56" spans="1:18" x14ac:dyDescent="0.25">
      <c r="A56" s="83" t="str">
        <f>IFERROR(IF(C56&lt;&gt;"",A55+1,""),MAX($A$10:A55)+1)</f>
        <v/>
      </c>
      <c r="B56" s="86"/>
      <c r="C56" s="85"/>
      <c r="D56" s="85"/>
      <c r="E56" s="85"/>
      <c r="F56" s="85"/>
      <c r="G56" s="85"/>
      <c r="H56" s="85"/>
      <c r="I56" s="85"/>
      <c r="J56" s="85"/>
      <c r="K56" s="85"/>
      <c r="L56" s="85"/>
      <c r="M56" s="77"/>
      <c r="N56" s="77"/>
      <c r="O56" s="78"/>
      <c r="P56" s="79"/>
      <c r="Q56" s="79"/>
      <c r="R56" s="82" t="str">
        <f t="shared" si="1"/>
        <v/>
      </c>
    </row>
    <row r="57" spans="1:18" x14ac:dyDescent="0.25">
      <c r="A57" s="83" t="str">
        <f>IFERROR(IF(C57&lt;&gt;"",A56+1,""),MAX($A$10:A56)+1)</f>
        <v/>
      </c>
      <c r="B57" s="86"/>
      <c r="C57" s="85"/>
      <c r="D57" s="85"/>
      <c r="E57" s="85"/>
      <c r="F57" s="85"/>
      <c r="G57" s="85"/>
      <c r="H57" s="85"/>
      <c r="I57" s="85"/>
      <c r="J57" s="85"/>
      <c r="K57" s="85"/>
      <c r="L57" s="85"/>
      <c r="M57" s="77"/>
      <c r="N57" s="77"/>
      <c r="O57" s="78"/>
      <c r="P57" s="79"/>
      <c r="Q57" s="79"/>
      <c r="R57" s="82" t="str">
        <f t="shared" si="1"/>
        <v/>
      </c>
    </row>
    <row r="58" spans="1:18" x14ac:dyDescent="0.25">
      <c r="A58" s="83" t="str">
        <f>IFERROR(IF(C58&lt;&gt;"",A57+1,""),MAX($A$10:A57)+1)</f>
        <v/>
      </c>
      <c r="B58" s="86"/>
      <c r="C58" s="85"/>
      <c r="D58" s="85"/>
      <c r="E58" s="85"/>
      <c r="F58" s="85"/>
      <c r="G58" s="85"/>
      <c r="H58" s="85"/>
      <c r="I58" s="85"/>
      <c r="J58" s="85"/>
      <c r="K58" s="85"/>
      <c r="L58" s="85"/>
      <c r="M58" s="77"/>
      <c r="N58" s="77"/>
      <c r="O58" s="78"/>
      <c r="P58" s="79"/>
      <c r="Q58" s="79"/>
      <c r="R58" s="82" t="str">
        <f t="shared" si="1"/>
        <v/>
      </c>
    </row>
    <row r="59" spans="1:18" x14ac:dyDescent="0.25">
      <c r="A59" s="83" t="str">
        <f>IFERROR(IF(C59&lt;&gt;"",A58+1,""),MAX($A$10:A58)+1)</f>
        <v/>
      </c>
      <c r="B59" s="86"/>
      <c r="C59" s="85"/>
      <c r="D59" s="85"/>
      <c r="E59" s="85"/>
      <c r="F59" s="85"/>
      <c r="G59" s="85"/>
      <c r="H59" s="85"/>
      <c r="I59" s="85"/>
      <c r="J59" s="85"/>
      <c r="K59" s="85"/>
      <c r="L59" s="85"/>
      <c r="M59" s="77"/>
      <c r="N59" s="77"/>
      <c r="O59" s="78"/>
      <c r="P59" s="79"/>
      <c r="Q59" s="79"/>
      <c r="R59" s="82" t="str">
        <f t="shared" si="1"/>
        <v/>
      </c>
    </row>
    <row r="60" spans="1:18" x14ac:dyDescent="0.25">
      <c r="A60" s="83" t="str">
        <f>IFERROR(IF(C60&lt;&gt;"",A59+1,""),MAX($A$10:A59)+1)</f>
        <v/>
      </c>
      <c r="B60" s="86"/>
      <c r="C60" s="85"/>
      <c r="D60" s="85"/>
      <c r="E60" s="85"/>
      <c r="F60" s="85"/>
      <c r="G60" s="85"/>
      <c r="H60" s="85"/>
      <c r="I60" s="85"/>
      <c r="J60" s="85"/>
      <c r="K60" s="85"/>
      <c r="L60" s="85"/>
      <c r="M60" s="77"/>
      <c r="N60" s="77"/>
      <c r="O60" s="78"/>
      <c r="P60" s="79"/>
      <c r="Q60" s="79"/>
      <c r="R60" s="82" t="str">
        <f t="shared" si="1"/>
        <v/>
      </c>
    </row>
    <row r="61" spans="1:18" x14ac:dyDescent="0.25">
      <c r="A61" s="83" t="str">
        <f>IFERROR(IF(C61&lt;&gt;"",A60+1,""),MAX($A$10:A60)+1)</f>
        <v/>
      </c>
      <c r="B61" s="86"/>
      <c r="C61" s="85"/>
      <c r="D61" s="85"/>
      <c r="E61" s="85"/>
      <c r="F61" s="85"/>
      <c r="G61" s="85"/>
      <c r="H61" s="85"/>
      <c r="I61" s="85"/>
      <c r="J61" s="85"/>
      <c r="K61" s="85"/>
      <c r="L61" s="85"/>
      <c r="M61" s="77"/>
      <c r="N61" s="77"/>
      <c r="O61" s="78"/>
      <c r="P61" s="79"/>
      <c r="Q61" s="79"/>
      <c r="R61" s="82" t="str">
        <f t="shared" si="1"/>
        <v/>
      </c>
    </row>
    <row r="62" spans="1:18" x14ac:dyDescent="0.25">
      <c r="A62" s="83" t="str">
        <f>IFERROR(IF(C62&lt;&gt;"",A61+1,""),MAX($A$10:A61)+1)</f>
        <v/>
      </c>
      <c r="B62" s="86"/>
      <c r="C62" s="85"/>
      <c r="D62" s="85"/>
      <c r="E62" s="85"/>
      <c r="F62" s="85"/>
      <c r="G62" s="85"/>
      <c r="H62" s="85"/>
      <c r="I62" s="85"/>
      <c r="J62" s="85"/>
      <c r="K62" s="85"/>
      <c r="L62" s="85"/>
      <c r="M62" s="77"/>
      <c r="N62" s="77"/>
      <c r="O62" s="78"/>
      <c r="P62" s="79"/>
      <c r="Q62" s="79"/>
      <c r="R62" s="82" t="str">
        <f t="shared" si="1"/>
        <v/>
      </c>
    </row>
    <row r="63" spans="1:18" x14ac:dyDescent="0.25">
      <c r="A63" s="83" t="str">
        <f>IFERROR(IF(C63&lt;&gt;"",A62+1,""),MAX($A$10:A62)+1)</f>
        <v/>
      </c>
      <c r="B63" s="86"/>
      <c r="C63" s="85"/>
      <c r="D63" s="85"/>
      <c r="E63" s="85"/>
      <c r="F63" s="85"/>
      <c r="G63" s="85"/>
      <c r="H63" s="85"/>
      <c r="I63" s="85"/>
      <c r="J63" s="85"/>
      <c r="K63" s="85"/>
      <c r="L63" s="85"/>
      <c r="M63" s="77"/>
      <c r="N63" s="77"/>
      <c r="O63" s="78"/>
      <c r="P63" s="79"/>
      <c r="Q63" s="79"/>
      <c r="R63" s="82" t="str">
        <f t="shared" si="1"/>
        <v/>
      </c>
    </row>
    <row r="64" spans="1:18" x14ac:dyDescent="0.25">
      <c r="A64" s="83" t="str">
        <f>IFERROR(IF(C64&lt;&gt;"",A63+1,""),MAX($A$10:A63)+1)</f>
        <v/>
      </c>
      <c r="B64" s="86"/>
      <c r="C64" s="85"/>
      <c r="D64" s="85"/>
      <c r="E64" s="85"/>
      <c r="F64" s="85"/>
      <c r="G64" s="85"/>
      <c r="H64" s="85"/>
      <c r="I64" s="85"/>
      <c r="J64" s="85"/>
      <c r="K64" s="85"/>
      <c r="L64" s="85"/>
      <c r="M64" s="77"/>
      <c r="N64" s="77"/>
      <c r="O64" s="78"/>
      <c r="P64" s="79"/>
      <c r="Q64" s="79"/>
      <c r="R64" s="82" t="str">
        <f t="shared" si="1"/>
        <v/>
      </c>
    </row>
    <row r="65" spans="1:18" x14ac:dyDescent="0.25">
      <c r="A65" s="83" t="str">
        <f>IFERROR(IF(C65&lt;&gt;"",A64+1,""),MAX($A$10:A64)+1)</f>
        <v/>
      </c>
      <c r="B65" s="86"/>
      <c r="C65" s="85"/>
      <c r="D65" s="85"/>
      <c r="E65" s="85"/>
      <c r="F65" s="85"/>
      <c r="G65" s="85"/>
      <c r="H65" s="85"/>
      <c r="I65" s="85"/>
      <c r="J65" s="85"/>
      <c r="K65" s="85"/>
      <c r="L65" s="85"/>
      <c r="M65" s="77"/>
      <c r="N65" s="77"/>
      <c r="O65" s="78"/>
      <c r="P65" s="79"/>
      <c r="Q65" s="79"/>
      <c r="R65" s="82" t="str">
        <f t="shared" si="1"/>
        <v/>
      </c>
    </row>
    <row r="66" spans="1:18" x14ac:dyDescent="0.25">
      <c r="A66" s="83" t="str">
        <f>IFERROR(IF(C66&lt;&gt;"",A65+1,""),MAX($A$10:A65)+1)</f>
        <v/>
      </c>
      <c r="B66" s="86"/>
      <c r="C66" s="85"/>
      <c r="D66" s="85"/>
      <c r="E66" s="85"/>
      <c r="F66" s="85"/>
      <c r="G66" s="85"/>
      <c r="H66" s="85"/>
      <c r="I66" s="85"/>
      <c r="J66" s="85"/>
      <c r="K66" s="85"/>
      <c r="L66" s="85"/>
      <c r="M66" s="77"/>
      <c r="N66" s="77"/>
      <c r="O66" s="78"/>
      <c r="P66" s="79"/>
      <c r="Q66" s="79"/>
      <c r="R66" s="82" t="str">
        <f t="shared" si="1"/>
        <v/>
      </c>
    </row>
    <row r="67" spans="1:18" x14ac:dyDescent="0.25">
      <c r="A67" s="83" t="str">
        <f>IFERROR(IF(C67&lt;&gt;"",A66+1,""),MAX($A$10:A66)+1)</f>
        <v/>
      </c>
      <c r="B67" s="86"/>
      <c r="C67" s="85"/>
      <c r="D67" s="85"/>
      <c r="E67" s="85"/>
      <c r="F67" s="85"/>
      <c r="G67" s="85"/>
      <c r="H67" s="85"/>
      <c r="I67" s="85"/>
      <c r="J67" s="85"/>
      <c r="K67" s="85"/>
      <c r="L67" s="85"/>
      <c r="M67" s="77"/>
      <c r="N67" s="77"/>
      <c r="O67" s="78"/>
      <c r="P67" s="79"/>
      <c r="Q67" s="79"/>
      <c r="R67" s="82" t="str">
        <f t="shared" si="1"/>
        <v/>
      </c>
    </row>
    <row r="68" spans="1:18" x14ac:dyDescent="0.25">
      <c r="A68" s="83" t="str">
        <f>IFERROR(IF(C68&lt;&gt;"",A67+1,""),MAX($A$10:A67)+1)</f>
        <v/>
      </c>
      <c r="B68" s="86"/>
      <c r="C68" s="85"/>
      <c r="D68" s="85"/>
      <c r="E68" s="85"/>
      <c r="F68" s="85"/>
      <c r="G68" s="85"/>
      <c r="H68" s="85"/>
      <c r="I68" s="85"/>
      <c r="J68" s="85"/>
      <c r="K68" s="85"/>
      <c r="L68" s="85"/>
      <c r="M68" s="77"/>
      <c r="N68" s="77"/>
      <c r="O68" s="78"/>
      <c r="P68" s="79"/>
      <c r="Q68" s="79"/>
      <c r="R68" s="82" t="str">
        <f t="shared" si="1"/>
        <v/>
      </c>
    </row>
    <row r="69" spans="1:18" x14ac:dyDescent="0.25">
      <c r="A69" s="83" t="str">
        <f>IFERROR(IF(C69&lt;&gt;"",A68+1,""),MAX($A$10:A68)+1)</f>
        <v/>
      </c>
      <c r="B69" s="86"/>
      <c r="C69" s="85"/>
      <c r="D69" s="85"/>
      <c r="E69" s="85"/>
      <c r="F69" s="85"/>
      <c r="G69" s="85"/>
      <c r="H69" s="85"/>
      <c r="I69" s="85"/>
      <c r="J69" s="85"/>
      <c r="K69" s="85"/>
      <c r="L69" s="85"/>
      <c r="M69" s="77"/>
      <c r="N69" s="77"/>
      <c r="O69" s="78"/>
      <c r="P69" s="79"/>
      <c r="Q69" s="79"/>
      <c r="R69" s="82" t="str">
        <f t="shared" si="1"/>
        <v/>
      </c>
    </row>
    <row r="70" spans="1:18" x14ac:dyDescent="0.25">
      <c r="A70" s="83" t="str">
        <f>IFERROR(IF(C70&lt;&gt;"",A69+1,""),MAX($A$10:A69)+1)</f>
        <v/>
      </c>
      <c r="B70" s="86"/>
      <c r="C70" s="85"/>
      <c r="D70" s="85"/>
      <c r="E70" s="85"/>
      <c r="F70" s="85"/>
      <c r="G70" s="85"/>
      <c r="H70" s="85"/>
      <c r="I70" s="85"/>
      <c r="J70" s="85"/>
      <c r="K70" s="85"/>
      <c r="L70" s="85"/>
      <c r="M70" s="77"/>
      <c r="N70" s="77"/>
      <c r="O70" s="78"/>
      <c r="P70" s="79"/>
      <c r="Q70" s="79"/>
      <c r="R70" s="82" t="str">
        <f t="shared" si="1"/>
        <v/>
      </c>
    </row>
    <row r="71" spans="1:18" x14ac:dyDescent="0.25">
      <c r="A71" s="83" t="str">
        <f>IFERROR(IF(C71&lt;&gt;"",A70+1,""),MAX($A$10:A70)+1)</f>
        <v/>
      </c>
      <c r="B71" s="86"/>
      <c r="C71" s="85"/>
      <c r="D71" s="85"/>
      <c r="E71" s="85"/>
      <c r="F71" s="85"/>
      <c r="G71" s="85"/>
      <c r="H71" s="85"/>
      <c r="I71" s="85"/>
      <c r="J71" s="85"/>
      <c r="K71" s="85"/>
      <c r="L71" s="85"/>
      <c r="M71" s="77"/>
      <c r="N71" s="77"/>
      <c r="O71" s="78"/>
      <c r="P71" s="79"/>
      <c r="Q71" s="79"/>
      <c r="R71" s="82" t="str">
        <f t="shared" si="1"/>
        <v/>
      </c>
    </row>
    <row r="72" spans="1:18" x14ac:dyDescent="0.25">
      <c r="A72" s="83" t="str">
        <f>IFERROR(IF(C72&lt;&gt;"",A71+1,""),MAX($A$10:A71)+1)</f>
        <v/>
      </c>
      <c r="B72" s="86"/>
      <c r="C72" s="85"/>
      <c r="D72" s="85"/>
      <c r="E72" s="85"/>
      <c r="F72" s="85"/>
      <c r="G72" s="85"/>
      <c r="H72" s="85"/>
      <c r="I72" s="85"/>
      <c r="J72" s="85"/>
      <c r="K72" s="85"/>
      <c r="L72" s="85"/>
      <c r="M72" s="77"/>
      <c r="N72" s="77"/>
      <c r="O72" s="78"/>
      <c r="P72" s="79"/>
      <c r="Q72" s="79"/>
      <c r="R72" s="82" t="str">
        <f t="shared" si="1"/>
        <v/>
      </c>
    </row>
    <row r="73" spans="1:18" x14ac:dyDescent="0.25">
      <c r="A73" s="83" t="str">
        <f>IFERROR(IF(C73&lt;&gt;"",A72+1,""),MAX($A$10:A72)+1)</f>
        <v/>
      </c>
      <c r="B73" s="86"/>
      <c r="C73" s="85"/>
      <c r="D73" s="85"/>
      <c r="E73" s="85"/>
      <c r="F73" s="85"/>
      <c r="G73" s="85"/>
      <c r="H73" s="85"/>
      <c r="I73" s="85"/>
      <c r="J73" s="85"/>
      <c r="K73" s="85"/>
      <c r="L73" s="85"/>
      <c r="M73" s="77"/>
      <c r="N73" s="77"/>
      <c r="O73" s="78"/>
      <c r="P73" s="79"/>
      <c r="Q73" s="79"/>
      <c r="R73" s="82" t="str">
        <f t="shared" si="1"/>
        <v/>
      </c>
    </row>
    <row r="74" spans="1:18" x14ac:dyDescent="0.25">
      <c r="A74" s="83" t="str">
        <f>IFERROR(IF(C74&lt;&gt;"",A73+1,""),MAX($A$10:A73)+1)</f>
        <v/>
      </c>
      <c r="B74" s="86"/>
      <c r="C74" s="85"/>
      <c r="D74" s="85"/>
      <c r="E74" s="85"/>
      <c r="F74" s="85"/>
      <c r="G74" s="85"/>
      <c r="H74" s="85"/>
      <c r="I74" s="85"/>
      <c r="J74" s="85"/>
      <c r="K74" s="85"/>
      <c r="L74" s="85"/>
      <c r="M74" s="77"/>
      <c r="N74" s="77"/>
      <c r="O74" s="78"/>
      <c r="P74" s="79"/>
      <c r="Q74" s="79"/>
      <c r="R74" s="82" t="str">
        <f t="shared" si="1"/>
        <v/>
      </c>
    </row>
    <row r="75" spans="1:18" x14ac:dyDescent="0.25">
      <c r="A75" s="83" t="str">
        <f>IFERROR(IF(C75&lt;&gt;"",A74+1,""),MAX($A$10:A74)+1)</f>
        <v/>
      </c>
      <c r="B75" s="86"/>
      <c r="C75" s="85"/>
      <c r="D75" s="85"/>
      <c r="E75" s="85"/>
      <c r="F75" s="85"/>
      <c r="G75" s="85"/>
      <c r="H75" s="85"/>
      <c r="I75" s="85"/>
      <c r="J75" s="85"/>
      <c r="K75" s="85"/>
      <c r="L75" s="85"/>
      <c r="M75" s="77"/>
      <c r="N75" s="77"/>
      <c r="O75" s="78"/>
      <c r="P75" s="79"/>
      <c r="Q75" s="79"/>
      <c r="R75" s="82" t="str">
        <f t="shared" ref="R75:R138" si="2">IFERROR(IF((Q75-P75)=0,"",HOUR(Q75-P75)+MINUTE(Q75-P75)/60),"")</f>
        <v/>
      </c>
    </row>
    <row r="76" spans="1:18" x14ac:dyDescent="0.25">
      <c r="A76" s="83" t="str">
        <f>IFERROR(IF(C76&lt;&gt;"",A75+1,""),MAX($A$10:A75)+1)</f>
        <v/>
      </c>
      <c r="B76" s="86"/>
      <c r="C76" s="85"/>
      <c r="D76" s="85"/>
      <c r="E76" s="85"/>
      <c r="F76" s="85"/>
      <c r="G76" s="85"/>
      <c r="H76" s="85"/>
      <c r="I76" s="85"/>
      <c r="J76" s="85"/>
      <c r="K76" s="85"/>
      <c r="L76" s="85"/>
      <c r="M76" s="77"/>
      <c r="N76" s="77"/>
      <c r="O76" s="78"/>
      <c r="P76" s="79"/>
      <c r="Q76" s="79"/>
      <c r="R76" s="82" t="str">
        <f t="shared" si="2"/>
        <v/>
      </c>
    </row>
    <row r="77" spans="1:18" x14ac:dyDescent="0.25">
      <c r="A77" s="83" t="str">
        <f>IFERROR(IF(C77&lt;&gt;"",A76+1,""),MAX($A$10:A76)+1)</f>
        <v/>
      </c>
      <c r="B77" s="86"/>
      <c r="C77" s="85"/>
      <c r="D77" s="85"/>
      <c r="E77" s="85"/>
      <c r="F77" s="85"/>
      <c r="G77" s="85"/>
      <c r="H77" s="85"/>
      <c r="I77" s="85"/>
      <c r="J77" s="85"/>
      <c r="K77" s="85"/>
      <c r="L77" s="85"/>
      <c r="M77" s="77"/>
      <c r="N77" s="77"/>
      <c r="O77" s="78"/>
      <c r="P77" s="79"/>
      <c r="Q77" s="79"/>
      <c r="R77" s="82" t="str">
        <f t="shared" si="2"/>
        <v/>
      </c>
    </row>
    <row r="78" spans="1:18" x14ac:dyDescent="0.25">
      <c r="A78" s="83" t="str">
        <f>IFERROR(IF(C78&lt;&gt;"",A77+1,""),MAX($A$10:A77)+1)</f>
        <v/>
      </c>
      <c r="B78" s="86"/>
      <c r="C78" s="85"/>
      <c r="D78" s="85"/>
      <c r="E78" s="85"/>
      <c r="F78" s="85"/>
      <c r="G78" s="85"/>
      <c r="H78" s="85"/>
      <c r="I78" s="85"/>
      <c r="J78" s="85"/>
      <c r="K78" s="85"/>
      <c r="L78" s="85"/>
      <c r="M78" s="77"/>
      <c r="N78" s="77"/>
      <c r="O78" s="78"/>
      <c r="P78" s="79"/>
      <c r="Q78" s="79"/>
      <c r="R78" s="82" t="str">
        <f t="shared" si="2"/>
        <v/>
      </c>
    </row>
    <row r="79" spans="1:18" x14ac:dyDescent="0.25">
      <c r="A79" s="83" t="str">
        <f>IFERROR(IF(C79&lt;&gt;"",A78+1,""),MAX($A$10:A78)+1)</f>
        <v/>
      </c>
      <c r="B79" s="86"/>
      <c r="C79" s="85"/>
      <c r="D79" s="85"/>
      <c r="E79" s="85"/>
      <c r="F79" s="85"/>
      <c r="G79" s="85"/>
      <c r="H79" s="85"/>
      <c r="I79" s="85"/>
      <c r="J79" s="85"/>
      <c r="K79" s="85"/>
      <c r="L79" s="85"/>
      <c r="M79" s="77"/>
      <c r="N79" s="77"/>
      <c r="O79" s="78"/>
      <c r="P79" s="79"/>
      <c r="Q79" s="79"/>
      <c r="R79" s="82" t="str">
        <f t="shared" si="2"/>
        <v/>
      </c>
    </row>
    <row r="80" spans="1:18" x14ac:dyDescent="0.25">
      <c r="A80" s="83" t="str">
        <f>IFERROR(IF(C80&lt;&gt;"",A79+1,""),MAX($A$10:A79)+1)</f>
        <v/>
      </c>
      <c r="B80" s="86"/>
      <c r="C80" s="85"/>
      <c r="D80" s="85"/>
      <c r="E80" s="85"/>
      <c r="F80" s="85"/>
      <c r="G80" s="85"/>
      <c r="H80" s="85"/>
      <c r="I80" s="85"/>
      <c r="J80" s="85"/>
      <c r="K80" s="85"/>
      <c r="L80" s="85"/>
      <c r="M80" s="77"/>
      <c r="N80" s="77"/>
      <c r="O80" s="78"/>
      <c r="P80" s="79"/>
      <c r="Q80" s="79"/>
      <c r="R80" s="82" t="str">
        <f t="shared" si="2"/>
        <v/>
      </c>
    </row>
    <row r="81" spans="1:18" x14ac:dyDescent="0.25">
      <c r="A81" s="83" t="str">
        <f>IFERROR(IF(C81&lt;&gt;"",A80+1,""),MAX($A$10:A80)+1)</f>
        <v/>
      </c>
      <c r="B81" s="86"/>
      <c r="C81" s="85"/>
      <c r="D81" s="85"/>
      <c r="E81" s="85"/>
      <c r="F81" s="85"/>
      <c r="G81" s="85"/>
      <c r="H81" s="85"/>
      <c r="I81" s="85"/>
      <c r="J81" s="85"/>
      <c r="K81" s="85"/>
      <c r="L81" s="85"/>
      <c r="M81" s="77"/>
      <c r="N81" s="77"/>
      <c r="O81" s="78"/>
      <c r="P81" s="79"/>
      <c r="Q81" s="79"/>
      <c r="R81" s="82" t="str">
        <f t="shared" si="2"/>
        <v/>
      </c>
    </row>
    <row r="82" spans="1:18" x14ac:dyDescent="0.25">
      <c r="A82" s="83" t="str">
        <f>IFERROR(IF(C82&lt;&gt;"",A81+1,""),MAX($A$10:A81)+1)</f>
        <v/>
      </c>
      <c r="B82" s="86"/>
      <c r="C82" s="85"/>
      <c r="D82" s="85"/>
      <c r="E82" s="85"/>
      <c r="F82" s="85"/>
      <c r="G82" s="85"/>
      <c r="H82" s="85"/>
      <c r="I82" s="85"/>
      <c r="J82" s="85"/>
      <c r="K82" s="85"/>
      <c r="L82" s="85"/>
      <c r="M82" s="77"/>
      <c r="N82" s="77"/>
      <c r="O82" s="78"/>
      <c r="P82" s="79"/>
      <c r="Q82" s="79"/>
      <c r="R82" s="82" t="str">
        <f t="shared" si="2"/>
        <v/>
      </c>
    </row>
    <row r="83" spans="1:18" x14ac:dyDescent="0.25">
      <c r="A83" s="83" t="str">
        <f>IFERROR(IF(C83&lt;&gt;"",A82+1,""),MAX($A$10:A82)+1)</f>
        <v/>
      </c>
      <c r="B83" s="86"/>
      <c r="C83" s="85"/>
      <c r="D83" s="85"/>
      <c r="E83" s="85"/>
      <c r="F83" s="85"/>
      <c r="G83" s="85"/>
      <c r="H83" s="85"/>
      <c r="I83" s="85"/>
      <c r="J83" s="85"/>
      <c r="K83" s="85"/>
      <c r="L83" s="85"/>
      <c r="M83" s="77"/>
      <c r="N83" s="77"/>
      <c r="O83" s="78"/>
      <c r="P83" s="79"/>
      <c r="Q83" s="79"/>
      <c r="R83" s="82" t="str">
        <f t="shared" si="2"/>
        <v/>
      </c>
    </row>
    <row r="84" spans="1:18" x14ac:dyDescent="0.25">
      <c r="A84" s="83" t="str">
        <f>IFERROR(IF(C84&lt;&gt;"",A83+1,""),MAX($A$10:A83)+1)</f>
        <v/>
      </c>
      <c r="B84" s="86"/>
      <c r="C84" s="85"/>
      <c r="D84" s="85"/>
      <c r="E84" s="85"/>
      <c r="F84" s="85"/>
      <c r="G84" s="85"/>
      <c r="H84" s="85"/>
      <c r="I84" s="85"/>
      <c r="J84" s="85"/>
      <c r="K84" s="85"/>
      <c r="L84" s="85"/>
      <c r="M84" s="77"/>
      <c r="N84" s="77"/>
      <c r="O84" s="78"/>
      <c r="P84" s="79"/>
      <c r="Q84" s="79"/>
      <c r="R84" s="82" t="str">
        <f t="shared" si="2"/>
        <v/>
      </c>
    </row>
    <row r="85" spans="1:18" x14ac:dyDescent="0.25">
      <c r="A85" s="83" t="str">
        <f>IFERROR(IF(C85&lt;&gt;"",A84+1,""),MAX($A$10:A84)+1)</f>
        <v/>
      </c>
      <c r="B85" s="86"/>
      <c r="C85" s="85"/>
      <c r="D85" s="85"/>
      <c r="E85" s="85"/>
      <c r="F85" s="85"/>
      <c r="G85" s="85"/>
      <c r="H85" s="85"/>
      <c r="I85" s="85"/>
      <c r="J85" s="85"/>
      <c r="K85" s="85"/>
      <c r="L85" s="85"/>
      <c r="M85" s="77"/>
      <c r="N85" s="77"/>
      <c r="O85" s="78"/>
      <c r="P85" s="79"/>
      <c r="Q85" s="79"/>
      <c r="R85" s="82" t="str">
        <f t="shared" si="2"/>
        <v/>
      </c>
    </row>
    <row r="86" spans="1:18" x14ac:dyDescent="0.25">
      <c r="A86" s="83" t="str">
        <f>IFERROR(IF(C86&lt;&gt;"",A85+1,""),MAX($A$10:A85)+1)</f>
        <v/>
      </c>
      <c r="B86" s="86"/>
      <c r="C86" s="85"/>
      <c r="D86" s="85"/>
      <c r="E86" s="85"/>
      <c r="F86" s="85"/>
      <c r="G86" s="85"/>
      <c r="H86" s="85"/>
      <c r="I86" s="85"/>
      <c r="J86" s="85"/>
      <c r="K86" s="85"/>
      <c r="L86" s="85"/>
      <c r="M86" s="77"/>
      <c r="N86" s="77"/>
      <c r="O86" s="78"/>
      <c r="P86" s="79"/>
      <c r="Q86" s="79"/>
      <c r="R86" s="82" t="str">
        <f t="shared" si="2"/>
        <v/>
      </c>
    </row>
    <row r="87" spans="1:18" x14ac:dyDescent="0.25">
      <c r="A87" s="83" t="str">
        <f>IFERROR(IF(C87&lt;&gt;"",A86+1,""),MAX($A$10:A86)+1)</f>
        <v/>
      </c>
      <c r="B87" s="86"/>
      <c r="C87" s="85"/>
      <c r="D87" s="85"/>
      <c r="E87" s="85"/>
      <c r="F87" s="85"/>
      <c r="G87" s="85"/>
      <c r="H87" s="85"/>
      <c r="I87" s="85"/>
      <c r="J87" s="85"/>
      <c r="K87" s="85"/>
      <c r="L87" s="85"/>
      <c r="M87" s="77"/>
      <c r="N87" s="77"/>
      <c r="O87" s="78"/>
      <c r="P87" s="79"/>
      <c r="Q87" s="79"/>
      <c r="R87" s="82" t="str">
        <f t="shared" si="2"/>
        <v/>
      </c>
    </row>
    <row r="88" spans="1:18" x14ac:dyDescent="0.25">
      <c r="A88" s="83" t="str">
        <f>IFERROR(IF(C88&lt;&gt;"",A87+1,""),MAX($A$10:A87)+1)</f>
        <v/>
      </c>
      <c r="B88" s="86"/>
      <c r="C88" s="85"/>
      <c r="D88" s="85"/>
      <c r="E88" s="85"/>
      <c r="F88" s="85"/>
      <c r="G88" s="85"/>
      <c r="H88" s="85"/>
      <c r="I88" s="85"/>
      <c r="J88" s="85"/>
      <c r="K88" s="85"/>
      <c r="L88" s="85"/>
      <c r="M88" s="77"/>
      <c r="N88" s="77"/>
      <c r="O88" s="78"/>
      <c r="P88" s="79"/>
      <c r="Q88" s="79"/>
      <c r="R88" s="82" t="str">
        <f t="shared" si="2"/>
        <v/>
      </c>
    </row>
    <row r="89" spans="1:18" x14ac:dyDescent="0.25">
      <c r="A89" s="83" t="str">
        <f>IFERROR(IF(C89&lt;&gt;"",A88+1,""),MAX($A$10:A88)+1)</f>
        <v/>
      </c>
      <c r="B89" s="86"/>
      <c r="C89" s="85"/>
      <c r="D89" s="85"/>
      <c r="E89" s="85"/>
      <c r="F89" s="85"/>
      <c r="G89" s="85"/>
      <c r="H89" s="85"/>
      <c r="I89" s="85"/>
      <c r="J89" s="85"/>
      <c r="K89" s="85"/>
      <c r="L89" s="85"/>
      <c r="M89" s="77"/>
      <c r="N89" s="77"/>
      <c r="O89" s="78"/>
      <c r="P89" s="79"/>
      <c r="Q89" s="79"/>
      <c r="R89" s="82" t="str">
        <f t="shared" si="2"/>
        <v/>
      </c>
    </row>
    <row r="90" spans="1:18" x14ac:dyDescent="0.25">
      <c r="A90" s="83" t="str">
        <f>IFERROR(IF(C90&lt;&gt;"",A89+1,""),MAX($A$10:A89)+1)</f>
        <v/>
      </c>
      <c r="B90" s="86"/>
      <c r="C90" s="85"/>
      <c r="D90" s="85"/>
      <c r="E90" s="85"/>
      <c r="F90" s="85"/>
      <c r="G90" s="85"/>
      <c r="H90" s="85"/>
      <c r="I90" s="85"/>
      <c r="J90" s="85"/>
      <c r="K90" s="85"/>
      <c r="L90" s="85"/>
      <c r="M90" s="77"/>
      <c r="N90" s="77"/>
      <c r="O90" s="78"/>
      <c r="P90" s="79"/>
      <c r="Q90" s="79"/>
      <c r="R90" s="82" t="str">
        <f t="shared" si="2"/>
        <v/>
      </c>
    </row>
    <row r="91" spans="1:18" x14ac:dyDescent="0.25">
      <c r="A91" s="83" t="str">
        <f>IFERROR(IF(C91&lt;&gt;"",A90+1,""),MAX($A$10:A90)+1)</f>
        <v/>
      </c>
      <c r="B91" s="86"/>
      <c r="C91" s="85"/>
      <c r="D91" s="85"/>
      <c r="E91" s="85"/>
      <c r="F91" s="85"/>
      <c r="G91" s="85"/>
      <c r="H91" s="85"/>
      <c r="I91" s="85"/>
      <c r="J91" s="85"/>
      <c r="K91" s="85"/>
      <c r="L91" s="85"/>
      <c r="M91" s="77"/>
      <c r="N91" s="77"/>
      <c r="O91" s="78"/>
      <c r="P91" s="79"/>
      <c r="Q91" s="79"/>
      <c r="R91" s="82" t="str">
        <f t="shared" si="2"/>
        <v/>
      </c>
    </row>
    <row r="92" spans="1:18" x14ac:dyDescent="0.25">
      <c r="A92" s="83" t="str">
        <f>IFERROR(IF(C92&lt;&gt;"",A91+1,""),MAX($A$10:A91)+1)</f>
        <v/>
      </c>
      <c r="B92" s="86"/>
      <c r="C92" s="85"/>
      <c r="D92" s="85"/>
      <c r="E92" s="85"/>
      <c r="F92" s="85"/>
      <c r="G92" s="85"/>
      <c r="H92" s="85"/>
      <c r="I92" s="85"/>
      <c r="J92" s="85"/>
      <c r="K92" s="85"/>
      <c r="L92" s="85"/>
      <c r="M92" s="77"/>
      <c r="N92" s="77"/>
      <c r="O92" s="78"/>
      <c r="P92" s="79"/>
      <c r="Q92" s="79"/>
      <c r="R92" s="82" t="str">
        <f t="shared" si="2"/>
        <v/>
      </c>
    </row>
    <row r="93" spans="1:18" x14ac:dyDescent="0.25">
      <c r="A93" s="83" t="str">
        <f>IFERROR(IF(C93&lt;&gt;"",A92+1,""),MAX($A$10:A92)+1)</f>
        <v/>
      </c>
      <c r="B93" s="86"/>
      <c r="C93" s="85"/>
      <c r="D93" s="85"/>
      <c r="E93" s="85"/>
      <c r="F93" s="85"/>
      <c r="G93" s="85"/>
      <c r="H93" s="85"/>
      <c r="I93" s="85"/>
      <c r="J93" s="85"/>
      <c r="K93" s="85"/>
      <c r="L93" s="85"/>
      <c r="M93" s="77"/>
      <c r="N93" s="77"/>
      <c r="O93" s="78"/>
      <c r="P93" s="79"/>
      <c r="Q93" s="79"/>
      <c r="R93" s="82" t="str">
        <f t="shared" si="2"/>
        <v/>
      </c>
    </row>
    <row r="94" spans="1:18" x14ac:dyDescent="0.25">
      <c r="A94" s="83" t="str">
        <f>IFERROR(IF(C94&lt;&gt;"",A93+1,""),MAX($A$10:A93)+1)</f>
        <v/>
      </c>
      <c r="B94" s="86"/>
      <c r="C94" s="85"/>
      <c r="D94" s="85"/>
      <c r="E94" s="85"/>
      <c r="F94" s="85"/>
      <c r="G94" s="85"/>
      <c r="H94" s="85"/>
      <c r="I94" s="85"/>
      <c r="J94" s="85"/>
      <c r="K94" s="85"/>
      <c r="L94" s="85"/>
      <c r="M94" s="77"/>
      <c r="N94" s="77"/>
      <c r="O94" s="78"/>
      <c r="P94" s="79"/>
      <c r="Q94" s="79"/>
      <c r="R94" s="82" t="str">
        <f t="shared" si="2"/>
        <v/>
      </c>
    </row>
    <row r="95" spans="1:18" x14ac:dyDescent="0.25">
      <c r="A95" s="83" t="str">
        <f>IFERROR(IF(C95&lt;&gt;"",A94+1,""),MAX($A$10:A94)+1)</f>
        <v/>
      </c>
      <c r="B95" s="86"/>
      <c r="C95" s="85"/>
      <c r="D95" s="85"/>
      <c r="E95" s="85"/>
      <c r="F95" s="85"/>
      <c r="G95" s="85"/>
      <c r="H95" s="85"/>
      <c r="I95" s="85"/>
      <c r="J95" s="85"/>
      <c r="K95" s="85"/>
      <c r="L95" s="85"/>
      <c r="M95" s="77"/>
      <c r="N95" s="77"/>
      <c r="O95" s="78"/>
      <c r="P95" s="79"/>
      <c r="Q95" s="79"/>
      <c r="R95" s="82" t="str">
        <f t="shared" si="2"/>
        <v/>
      </c>
    </row>
    <row r="96" spans="1:18" x14ac:dyDescent="0.25">
      <c r="A96" s="83" t="str">
        <f>IFERROR(IF(C96&lt;&gt;"",A95+1,""),MAX($A$10:A95)+1)</f>
        <v/>
      </c>
      <c r="B96" s="86"/>
      <c r="C96" s="85"/>
      <c r="D96" s="85"/>
      <c r="E96" s="85"/>
      <c r="F96" s="85"/>
      <c r="G96" s="85"/>
      <c r="H96" s="85"/>
      <c r="I96" s="85"/>
      <c r="J96" s="85"/>
      <c r="K96" s="85"/>
      <c r="L96" s="85"/>
      <c r="M96" s="77"/>
      <c r="N96" s="77"/>
      <c r="O96" s="78"/>
      <c r="P96" s="79"/>
      <c r="Q96" s="79"/>
      <c r="R96" s="82" t="str">
        <f t="shared" si="2"/>
        <v/>
      </c>
    </row>
    <row r="97" spans="1:18" x14ac:dyDescent="0.25">
      <c r="A97" s="83" t="str">
        <f>IFERROR(IF(C97&lt;&gt;"",A96+1,""),MAX($A$10:A96)+1)</f>
        <v/>
      </c>
      <c r="B97" s="86"/>
      <c r="C97" s="85"/>
      <c r="D97" s="85"/>
      <c r="E97" s="85"/>
      <c r="F97" s="85"/>
      <c r="G97" s="85"/>
      <c r="H97" s="85"/>
      <c r="I97" s="85"/>
      <c r="J97" s="85"/>
      <c r="K97" s="85"/>
      <c r="L97" s="85"/>
      <c r="M97" s="77"/>
      <c r="N97" s="77"/>
      <c r="O97" s="78"/>
      <c r="P97" s="79"/>
      <c r="Q97" s="79"/>
      <c r="R97" s="82" t="str">
        <f t="shared" si="2"/>
        <v/>
      </c>
    </row>
    <row r="98" spans="1:18" x14ac:dyDescent="0.25">
      <c r="A98" s="83" t="str">
        <f>IFERROR(IF(C98&lt;&gt;"",A97+1,""),MAX($A$10:A97)+1)</f>
        <v/>
      </c>
      <c r="B98" s="86"/>
      <c r="C98" s="85"/>
      <c r="D98" s="85"/>
      <c r="E98" s="85"/>
      <c r="F98" s="85"/>
      <c r="G98" s="85"/>
      <c r="H98" s="85"/>
      <c r="I98" s="85"/>
      <c r="J98" s="85"/>
      <c r="K98" s="85"/>
      <c r="L98" s="85"/>
      <c r="M98" s="77"/>
      <c r="N98" s="77"/>
      <c r="O98" s="78"/>
      <c r="P98" s="79"/>
      <c r="Q98" s="79"/>
      <c r="R98" s="82" t="str">
        <f t="shared" si="2"/>
        <v/>
      </c>
    </row>
    <row r="99" spans="1:18" x14ac:dyDescent="0.25">
      <c r="A99" s="83" t="str">
        <f>IFERROR(IF(C99&lt;&gt;"",A98+1,""),MAX($A$10:A98)+1)</f>
        <v/>
      </c>
      <c r="B99" s="86"/>
      <c r="C99" s="85"/>
      <c r="D99" s="85"/>
      <c r="E99" s="85"/>
      <c r="F99" s="85"/>
      <c r="G99" s="85"/>
      <c r="H99" s="85"/>
      <c r="I99" s="85"/>
      <c r="J99" s="85"/>
      <c r="K99" s="85"/>
      <c r="L99" s="85"/>
      <c r="M99" s="77"/>
      <c r="N99" s="77"/>
      <c r="O99" s="78"/>
      <c r="P99" s="79"/>
      <c r="Q99" s="79"/>
      <c r="R99" s="82" t="str">
        <f t="shared" si="2"/>
        <v/>
      </c>
    </row>
    <row r="100" spans="1:18" x14ac:dyDescent="0.25">
      <c r="A100" s="83" t="str">
        <f>IFERROR(IF(C100&lt;&gt;"",A99+1,""),MAX($A$10:A99)+1)</f>
        <v/>
      </c>
      <c r="B100" s="86"/>
      <c r="C100" s="85"/>
      <c r="D100" s="85"/>
      <c r="E100" s="85"/>
      <c r="F100" s="85"/>
      <c r="G100" s="85"/>
      <c r="H100" s="85"/>
      <c r="I100" s="85"/>
      <c r="J100" s="85"/>
      <c r="K100" s="85"/>
      <c r="L100" s="85"/>
      <c r="M100" s="77"/>
      <c r="N100" s="77"/>
      <c r="O100" s="78"/>
      <c r="P100" s="79"/>
      <c r="Q100" s="79"/>
      <c r="R100" s="82" t="str">
        <f t="shared" si="2"/>
        <v/>
      </c>
    </row>
    <row r="101" spans="1:18" x14ac:dyDescent="0.25">
      <c r="A101" s="83" t="str">
        <f>IFERROR(IF(C101&lt;&gt;"",A100+1,""),MAX($A$10:A100)+1)</f>
        <v/>
      </c>
      <c r="B101" s="86"/>
      <c r="C101" s="85"/>
      <c r="D101" s="85"/>
      <c r="E101" s="85"/>
      <c r="F101" s="85"/>
      <c r="G101" s="85"/>
      <c r="H101" s="85"/>
      <c r="I101" s="85"/>
      <c r="J101" s="85"/>
      <c r="K101" s="85"/>
      <c r="L101" s="85"/>
      <c r="M101" s="77"/>
      <c r="N101" s="77"/>
      <c r="O101" s="78"/>
      <c r="P101" s="79"/>
      <c r="Q101" s="79"/>
      <c r="R101" s="82" t="str">
        <f t="shared" si="2"/>
        <v/>
      </c>
    </row>
    <row r="102" spans="1:18" x14ac:dyDescent="0.25">
      <c r="A102" s="83" t="str">
        <f>IFERROR(IF(C102&lt;&gt;"",A101+1,""),MAX($A$10:A101)+1)</f>
        <v/>
      </c>
      <c r="B102" s="86"/>
      <c r="C102" s="85"/>
      <c r="D102" s="85"/>
      <c r="E102" s="85"/>
      <c r="F102" s="85"/>
      <c r="G102" s="85"/>
      <c r="H102" s="85"/>
      <c r="I102" s="85"/>
      <c r="J102" s="85"/>
      <c r="K102" s="85"/>
      <c r="L102" s="85"/>
      <c r="M102" s="77"/>
      <c r="N102" s="77"/>
      <c r="O102" s="78"/>
      <c r="P102" s="79"/>
      <c r="Q102" s="79"/>
      <c r="R102" s="82" t="str">
        <f t="shared" si="2"/>
        <v/>
      </c>
    </row>
    <row r="103" spans="1:18" x14ac:dyDescent="0.25">
      <c r="A103" s="83" t="str">
        <f>IFERROR(IF(C103&lt;&gt;"",A102+1,""),MAX($A$10:A102)+1)</f>
        <v/>
      </c>
      <c r="B103" s="86"/>
      <c r="C103" s="85"/>
      <c r="D103" s="85"/>
      <c r="E103" s="85"/>
      <c r="F103" s="85"/>
      <c r="G103" s="85"/>
      <c r="H103" s="85"/>
      <c r="I103" s="85"/>
      <c r="J103" s="85"/>
      <c r="K103" s="85"/>
      <c r="L103" s="85"/>
      <c r="M103" s="77"/>
      <c r="N103" s="77"/>
      <c r="O103" s="78"/>
      <c r="P103" s="79"/>
      <c r="Q103" s="79"/>
      <c r="R103" s="82" t="str">
        <f t="shared" si="2"/>
        <v/>
      </c>
    </row>
    <row r="104" spans="1:18" x14ac:dyDescent="0.25">
      <c r="A104" s="83" t="str">
        <f>IFERROR(IF(C104&lt;&gt;"",A103+1,""),MAX($A$10:A103)+1)</f>
        <v/>
      </c>
      <c r="B104" s="86"/>
      <c r="C104" s="85"/>
      <c r="D104" s="85"/>
      <c r="E104" s="85"/>
      <c r="F104" s="85"/>
      <c r="G104" s="85"/>
      <c r="H104" s="85"/>
      <c r="I104" s="85"/>
      <c r="J104" s="85"/>
      <c r="K104" s="85"/>
      <c r="L104" s="85"/>
      <c r="M104" s="77"/>
      <c r="N104" s="77"/>
      <c r="O104" s="78"/>
      <c r="P104" s="79"/>
      <c r="Q104" s="79"/>
      <c r="R104" s="82" t="str">
        <f t="shared" si="2"/>
        <v/>
      </c>
    </row>
    <row r="105" spans="1:18" x14ac:dyDescent="0.25">
      <c r="A105" s="83" t="str">
        <f>IFERROR(IF(C105&lt;&gt;"",A104+1,""),MAX($A$10:A104)+1)</f>
        <v/>
      </c>
      <c r="B105" s="86"/>
      <c r="C105" s="85"/>
      <c r="D105" s="85"/>
      <c r="E105" s="85"/>
      <c r="F105" s="85"/>
      <c r="G105" s="85"/>
      <c r="H105" s="85"/>
      <c r="I105" s="85"/>
      <c r="J105" s="85"/>
      <c r="K105" s="85"/>
      <c r="L105" s="85"/>
      <c r="M105" s="77"/>
      <c r="N105" s="77"/>
      <c r="O105" s="78"/>
      <c r="P105" s="79"/>
      <c r="Q105" s="79"/>
      <c r="R105" s="82" t="str">
        <f t="shared" si="2"/>
        <v/>
      </c>
    </row>
    <row r="106" spans="1:18" x14ac:dyDescent="0.25">
      <c r="A106" s="83" t="str">
        <f>IFERROR(IF(C106&lt;&gt;"",A105+1,""),MAX($A$10:A105)+1)</f>
        <v/>
      </c>
      <c r="B106" s="86"/>
      <c r="C106" s="85"/>
      <c r="D106" s="85"/>
      <c r="E106" s="85"/>
      <c r="F106" s="85"/>
      <c r="G106" s="85"/>
      <c r="H106" s="85"/>
      <c r="I106" s="85"/>
      <c r="J106" s="85"/>
      <c r="K106" s="85"/>
      <c r="L106" s="85"/>
      <c r="M106" s="77"/>
      <c r="N106" s="77"/>
      <c r="O106" s="78"/>
      <c r="P106" s="79"/>
      <c r="Q106" s="79"/>
      <c r="R106" s="82" t="str">
        <f t="shared" si="2"/>
        <v/>
      </c>
    </row>
    <row r="107" spans="1:18" x14ac:dyDescent="0.25">
      <c r="A107" s="83" t="str">
        <f>IFERROR(IF(C107&lt;&gt;"",A106+1,""),MAX($A$10:A106)+1)</f>
        <v/>
      </c>
      <c r="B107" s="86"/>
      <c r="C107" s="85"/>
      <c r="D107" s="85"/>
      <c r="E107" s="85"/>
      <c r="F107" s="85"/>
      <c r="G107" s="85"/>
      <c r="H107" s="85"/>
      <c r="I107" s="85"/>
      <c r="J107" s="85"/>
      <c r="K107" s="85"/>
      <c r="L107" s="85"/>
      <c r="M107" s="77"/>
      <c r="N107" s="77"/>
      <c r="O107" s="78"/>
      <c r="P107" s="79"/>
      <c r="Q107" s="79"/>
      <c r="R107" s="82" t="str">
        <f t="shared" si="2"/>
        <v/>
      </c>
    </row>
    <row r="108" spans="1:18" x14ac:dyDescent="0.25">
      <c r="A108" s="83" t="str">
        <f>IFERROR(IF(C108&lt;&gt;"",A107+1,""),MAX($A$10:A107)+1)</f>
        <v/>
      </c>
      <c r="B108" s="86"/>
      <c r="C108" s="85"/>
      <c r="D108" s="85"/>
      <c r="E108" s="85"/>
      <c r="F108" s="85"/>
      <c r="G108" s="85"/>
      <c r="H108" s="85"/>
      <c r="I108" s="85"/>
      <c r="J108" s="85"/>
      <c r="K108" s="85"/>
      <c r="L108" s="85"/>
      <c r="M108" s="77"/>
      <c r="N108" s="77"/>
      <c r="O108" s="78"/>
      <c r="P108" s="79"/>
      <c r="Q108" s="79"/>
      <c r="R108" s="82" t="str">
        <f t="shared" si="2"/>
        <v/>
      </c>
    </row>
    <row r="109" spans="1:18" x14ac:dyDescent="0.25">
      <c r="A109" s="83" t="str">
        <f>IFERROR(IF(C109&lt;&gt;"",A108+1,""),MAX($A$10:A108)+1)</f>
        <v/>
      </c>
      <c r="B109" s="86"/>
      <c r="C109" s="85"/>
      <c r="D109" s="85"/>
      <c r="E109" s="85"/>
      <c r="F109" s="85"/>
      <c r="G109" s="85"/>
      <c r="H109" s="85"/>
      <c r="I109" s="85"/>
      <c r="J109" s="85"/>
      <c r="K109" s="85"/>
      <c r="L109" s="85"/>
      <c r="M109" s="77"/>
      <c r="N109" s="77"/>
      <c r="O109" s="78"/>
      <c r="P109" s="79"/>
      <c r="Q109" s="79"/>
      <c r="R109" s="82" t="str">
        <f t="shared" si="2"/>
        <v/>
      </c>
    </row>
    <row r="110" spans="1:18" x14ac:dyDescent="0.25">
      <c r="A110" s="83" t="str">
        <f>IFERROR(IF(C110&lt;&gt;"",A109+1,""),MAX($A$10:A109)+1)</f>
        <v/>
      </c>
      <c r="B110" s="86"/>
      <c r="C110" s="85"/>
      <c r="D110" s="85"/>
      <c r="E110" s="85"/>
      <c r="F110" s="85"/>
      <c r="G110" s="85"/>
      <c r="H110" s="85"/>
      <c r="I110" s="85"/>
      <c r="J110" s="85"/>
      <c r="K110" s="85"/>
      <c r="L110" s="85"/>
      <c r="M110" s="77"/>
      <c r="N110" s="77"/>
      <c r="O110" s="78"/>
      <c r="P110" s="79"/>
      <c r="Q110" s="79"/>
      <c r="R110" s="82" t="str">
        <f t="shared" si="2"/>
        <v/>
      </c>
    </row>
    <row r="111" spans="1:18" x14ac:dyDescent="0.25">
      <c r="A111" s="83" t="str">
        <f>IFERROR(IF(C111&lt;&gt;"",A110+1,""),MAX($A$10:A110)+1)</f>
        <v/>
      </c>
      <c r="B111" s="86"/>
      <c r="C111" s="85"/>
      <c r="D111" s="85"/>
      <c r="E111" s="85"/>
      <c r="F111" s="85"/>
      <c r="G111" s="85"/>
      <c r="H111" s="85"/>
      <c r="I111" s="85"/>
      <c r="J111" s="85"/>
      <c r="K111" s="85"/>
      <c r="L111" s="85"/>
      <c r="M111" s="77"/>
      <c r="N111" s="77"/>
      <c r="O111" s="78"/>
      <c r="P111" s="79"/>
      <c r="Q111" s="79"/>
      <c r="R111" s="82" t="str">
        <f t="shared" si="2"/>
        <v/>
      </c>
    </row>
    <row r="112" spans="1:18" x14ac:dyDescent="0.25">
      <c r="A112" s="83" t="str">
        <f>IFERROR(IF(C112&lt;&gt;"",A111+1,""),MAX($A$10:A111)+1)</f>
        <v/>
      </c>
      <c r="B112" s="86"/>
      <c r="C112" s="85"/>
      <c r="D112" s="85"/>
      <c r="E112" s="85"/>
      <c r="F112" s="85"/>
      <c r="G112" s="85"/>
      <c r="H112" s="85"/>
      <c r="I112" s="85"/>
      <c r="J112" s="85"/>
      <c r="K112" s="85"/>
      <c r="L112" s="85"/>
      <c r="M112" s="77"/>
      <c r="N112" s="77"/>
      <c r="O112" s="78"/>
      <c r="P112" s="79"/>
      <c r="Q112" s="79"/>
      <c r="R112" s="82" t="str">
        <f t="shared" si="2"/>
        <v/>
      </c>
    </row>
    <row r="113" spans="1:18" x14ac:dyDescent="0.25">
      <c r="A113" s="83" t="str">
        <f>IFERROR(IF(C113&lt;&gt;"",A112+1,""),MAX($A$10:A112)+1)</f>
        <v/>
      </c>
      <c r="B113" s="86"/>
      <c r="C113" s="85"/>
      <c r="D113" s="85"/>
      <c r="E113" s="85"/>
      <c r="F113" s="85"/>
      <c r="G113" s="85"/>
      <c r="H113" s="85"/>
      <c r="I113" s="85"/>
      <c r="J113" s="85"/>
      <c r="K113" s="85"/>
      <c r="L113" s="85"/>
      <c r="M113" s="77"/>
      <c r="N113" s="77"/>
      <c r="O113" s="78"/>
      <c r="P113" s="79"/>
      <c r="Q113" s="79"/>
      <c r="R113" s="82" t="str">
        <f t="shared" si="2"/>
        <v/>
      </c>
    </row>
    <row r="114" spans="1:18" x14ac:dyDescent="0.25">
      <c r="A114" s="83" t="str">
        <f>IFERROR(IF(C114&lt;&gt;"",A113+1,""),MAX($A$10:A113)+1)</f>
        <v/>
      </c>
      <c r="B114" s="86"/>
      <c r="C114" s="85"/>
      <c r="D114" s="85"/>
      <c r="E114" s="85"/>
      <c r="F114" s="85"/>
      <c r="G114" s="85"/>
      <c r="H114" s="85"/>
      <c r="I114" s="85"/>
      <c r="J114" s="85"/>
      <c r="K114" s="85"/>
      <c r="L114" s="85"/>
      <c r="M114" s="77"/>
      <c r="N114" s="77"/>
      <c r="O114" s="78"/>
      <c r="P114" s="79"/>
      <c r="Q114" s="79"/>
      <c r="R114" s="82" t="str">
        <f t="shared" si="2"/>
        <v/>
      </c>
    </row>
    <row r="115" spans="1:18" x14ac:dyDescent="0.25">
      <c r="A115" s="83" t="str">
        <f>IFERROR(IF(C115&lt;&gt;"",A114+1,""),MAX($A$10:A114)+1)</f>
        <v/>
      </c>
      <c r="B115" s="86"/>
      <c r="C115" s="85"/>
      <c r="D115" s="85"/>
      <c r="E115" s="85"/>
      <c r="F115" s="85"/>
      <c r="G115" s="85"/>
      <c r="H115" s="85"/>
      <c r="I115" s="85"/>
      <c r="J115" s="85"/>
      <c r="K115" s="85"/>
      <c r="L115" s="85"/>
      <c r="M115" s="77"/>
      <c r="N115" s="77"/>
      <c r="O115" s="78"/>
      <c r="P115" s="79"/>
      <c r="Q115" s="79"/>
      <c r="R115" s="82" t="str">
        <f t="shared" si="2"/>
        <v/>
      </c>
    </row>
    <row r="116" spans="1:18" x14ac:dyDescent="0.25">
      <c r="A116" s="83" t="str">
        <f>IFERROR(IF(C116&lt;&gt;"",A115+1,""),MAX($A$10:A115)+1)</f>
        <v/>
      </c>
      <c r="B116" s="86"/>
      <c r="C116" s="85"/>
      <c r="D116" s="85"/>
      <c r="E116" s="85"/>
      <c r="F116" s="85"/>
      <c r="G116" s="85"/>
      <c r="H116" s="85"/>
      <c r="I116" s="85"/>
      <c r="J116" s="85"/>
      <c r="K116" s="85"/>
      <c r="L116" s="85"/>
      <c r="M116" s="77"/>
      <c r="N116" s="77"/>
      <c r="O116" s="78"/>
      <c r="P116" s="79"/>
      <c r="Q116" s="79"/>
      <c r="R116" s="82" t="str">
        <f t="shared" si="2"/>
        <v/>
      </c>
    </row>
    <row r="117" spans="1:18" x14ac:dyDescent="0.25">
      <c r="A117" s="83" t="str">
        <f>IFERROR(IF(C117&lt;&gt;"",A116+1,""),MAX($A$10:A116)+1)</f>
        <v/>
      </c>
      <c r="B117" s="86"/>
      <c r="C117" s="85"/>
      <c r="D117" s="85"/>
      <c r="E117" s="85"/>
      <c r="F117" s="85"/>
      <c r="G117" s="85"/>
      <c r="H117" s="85"/>
      <c r="I117" s="85"/>
      <c r="J117" s="85"/>
      <c r="K117" s="85"/>
      <c r="L117" s="85"/>
      <c r="M117" s="77"/>
      <c r="N117" s="77"/>
      <c r="O117" s="78"/>
      <c r="P117" s="79"/>
      <c r="Q117" s="79"/>
      <c r="R117" s="82" t="str">
        <f t="shared" si="2"/>
        <v/>
      </c>
    </row>
    <row r="118" spans="1:18" x14ac:dyDescent="0.25">
      <c r="A118" s="83" t="str">
        <f>IFERROR(IF(C118&lt;&gt;"",A117+1,""),MAX($A$10:A117)+1)</f>
        <v/>
      </c>
      <c r="B118" s="86"/>
      <c r="C118" s="85"/>
      <c r="D118" s="85"/>
      <c r="E118" s="85"/>
      <c r="F118" s="85"/>
      <c r="G118" s="85"/>
      <c r="H118" s="85"/>
      <c r="I118" s="85"/>
      <c r="J118" s="85"/>
      <c r="K118" s="85"/>
      <c r="L118" s="85"/>
      <c r="M118" s="77"/>
      <c r="N118" s="77"/>
      <c r="O118" s="78"/>
      <c r="P118" s="79"/>
      <c r="Q118" s="79"/>
      <c r="R118" s="82" t="str">
        <f t="shared" si="2"/>
        <v/>
      </c>
    </row>
    <row r="119" spans="1:18" x14ac:dyDescent="0.25">
      <c r="A119" s="83" t="str">
        <f>IFERROR(IF(C119&lt;&gt;"",A118+1,""),MAX($A$10:A118)+1)</f>
        <v/>
      </c>
      <c r="B119" s="86"/>
      <c r="C119" s="85"/>
      <c r="D119" s="85"/>
      <c r="E119" s="85"/>
      <c r="F119" s="85"/>
      <c r="G119" s="85"/>
      <c r="H119" s="85"/>
      <c r="I119" s="85"/>
      <c r="J119" s="85"/>
      <c r="K119" s="85"/>
      <c r="L119" s="85"/>
      <c r="M119" s="77"/>
      <c r="N119" s="77"/>
      <c r="O119" s="78"/>
      <c r="P119" s="79"/>
      <c r="Q119" s="79"/>
      <c r="R119" s="82" t="str">
        <f t="shared" si="2"/>
        <v/>
      </c>
    </row>
    <row r="120" spans="1:18" x14ac:dyDescent="0.25">
      <c r="A120" s="83" t="str">
        <f>IFERROR(IF(C120&lt;&gt;"",A119+1,""),MAX($A$10:A119)+1)</f>
        <v/>
      </c>
      <c r="B120" s="86"/>
      <c r="C120" s="85"/>
      <c r="D120" s="85"/>
      <c r="E120" s="85"/>
      <c r="F120" s="85"/>
      <c r="G120" s="85"/>
      <c r="H120" s="85"/>
      <c r="I120" s="85"/>
      <c r="J120" s="85"/>
      <c r="K120" s="85"/>
      <c r="L120" s="85"/>
      <c r="M120" s="77"/>
      <c r="N120" s="77"/>
      <c r="O120" s="78"/>
      <c r="P120" s="79"/>
      <c r="Q120" s="79"/>
      <c r="R120" s="82" t="str">
        <f t="shared" si="2"/>
        <v/>
      </c>
    </row>
    <row r="121" spans="1:18" x14ac:dyDescent="0.25">
      <c r="A121" s="83" t="str">
        <f>IFERROR(IF(C121&lt;&gt;"",A120+1,""),MAX($A$10:A120)+1)</f>
        <v/>
      </c>
      <c r="B121" s="86"/>
      <c r="C121" s="85"/>
      <c r="D121" s="85"/>
      <c r="E121" s="85"/>
      <c r="F121" s="85"/>
      <c r="G121" s="85"/>
      <c r="H121" s="85"/>
      <c r="I121" s="85"/>
      <c r="J121" s="85"/>
      <c r="K121" s="85"/>
      <c r="L121" s="85"/>
      <c r="M121" s="77"/>
      <c r="N121" s="77"/>
      <c r="O121" s="78"/>
      <c r="P121" s="79"/>
      <c r="Q121" s="79"/>
      <c r="R121" s="82" t="str">
        <f t="shared" si="2"/>
        <v/>
      </c>
    </row>
    <row r="122" spans="1:18" x14ac:dyDescent="0.25">
      <c r="A122" s="83" t="str">
        <f>IFERROR(IF(C122&lt;&gt;"",A121+1,""),MAX($A$10:A121)+1)</f>
        <v/>
      </c>
      <c r="B122" s="86"/>
      <c r="C122" s="85"/>
      <c r="D122" s="85"/>
      <c r="E122" s="85"/>
      <c r="F122" s="85"/>
      <c r="G122" s="85"/>
      <c r="H122" s="85"/>
      <c r="I122" s="85"/>
      <c r="J122" s="85"/>
      <c r="K122" s="85"/>
      <c r="L122" s="85"/>
      <c r="M122" s="77"/>
      <c r="N122" s="77"/>
      <c r="O122" s="78"/>
      <c r="P122" s="79"/>
      <c r="Q122" s="79"/>
      <c r="R122" s="82" t="str">
        <f t="shared" si="2"/>
        <v/>
      </c>
    </row>
    <row r="123" spans="1:18" x14ac:dyDescent="0.25">
      <c r="A123" s="83" t="str">
        <f>IFERROR(IF(C123&lt;&gt;"",A122+1,""),MAX($A$10:A122)+1)</f>
        <v/>
      </c>
      <c r="B123" s="86"/>
      <c r="C123" s="85"/>
      <c r="D123" s="85"/>
      <c r="E123" s="85"/>
      <c r="F123" s="85"/>
      <c r="G123" s="85"/>
      <c r="H123" s="85"/>
      <c r="I123" s="85"/>
      <c r="J123" s="85"/>
      <c r="K123" s="85"/>
      <c r="L123" s="85"/>
      <c r="M123" s="77"/>
      <c r="N123" s="77"/>
      <c r="O123" s="78"/>
      <c r="P123" s="79"/>
      <c r="Q123" s="79"/>
      <c r="R123" s="82" t="str">
        <f t="shared" si="2"/>
        <v/>
      </c>
    </row>
    <row r="124" spans="1:18" x14ac:dyDescent="0.25">
      <c r="A124" s="83" t="str">
        <f>IFERROR(IF(C124&lt;&gt;"",A123+1,""),MAX($A$10:A123)+1)</f>
        <v/>
      </c>
      <c r="B124" s="86"/>
      <c r="C124" s="85"/>
      <c r="D124" s="85"/>
      <c r="E124" s="85"/>
      <c r="F124" s="85"/>
      <c r="G124" s="85"/>
      <c r="H124" s="85"/>
      <c r="I124" s="85"/>
      <c r="J124" s="85"/>
      <c r="K124" s="85"/>
      <c r="L124" s="85"/>
      <c r="M124" s="77"/>
      <c r="N124" s="77"/>
      <c r="O124" s="78"/>
      <c r="P124" s="79"/>
      <c r="Q124" s="79"/>
      <c r="R124" s="82" t="str">
        <f t="shared" si="2"/>
        <v/>
      </c>
    </row>
    <row r="125" spans="1:18" x14ac:dyDescent="0.25">
      <c r="A125" s="83" t="str">
        <f>IFERROR(IF(C125&lt;&gt;"",A124+1,""),MAX($A$10:A124)+1)</f>
        <v/>
      </c>
      <c r="B125" s="86"/>
      <c r="C125" s="85"/>
      <c r="D125" s="85"/>
      <c r="E125" s="85"/>
      <c r="F125" s="85"/>
      <c r="G125" s="85"/>
      <c r="H125" s="85"/>
      <c r="I125" s="85"/>
      <c r="J125" s="85"/>
      <c r="K125" s="85"/>
      <c r="L125" s="85"/>
      <c r="M125" s="77"/>
      <c r="N125" s="77"/>
      <c r="O125" s="78"/>
      <c r="P125" s="79"/>
      <c r="Q125" s="79"/>
      <c r="R125" s="82" t="str">
        <f t="shared" si="2"/>
        <v/>
      </c>
    </row>
    <row r="126" spans="1:18" x14ac:dyDescent="0.25">
      <c r="A126" s="83" t="str">
        <f>IFERROR(IF(C126&lt;&gt;"",A125+1,""),MAX($A$10:A125)+1)</f>
        <v/>
      </c>
      <c r="B126" s="86"/>
      <c r="C126" s="85"/>
      <c r="D126" s="85"/>
      <c r="E126" s="85"/>
      <c r="F126" s="85"/>
      <c r="G126" s="85"/>
      <c r="H126" s="85"/>
      <c r="I126" s="85"/>
      <c r="J126" s="85"/>
      <c r="K126" s="85"/>
      <c r="L126" s="85"/>
      <c r="M126" s="77"/>
      <c r="N126" s="77"/>
      <c r="O126" s="78"/>
      <c r="P126" s="79"/>
      <c r="Q126" s="79"/>
      <c r="R126" s="82" t="str">
        <f t="shared" si="2"/>
        <v/>
      </c>
    </row>
    <row r="127" spans="1:18" x14ac:dyDescent="0.25">
      <c r="A127" s="83" t="str">
        <f>IFERROR(IF(C127&lt;&gt;"",A126+1,""),MAX($A$10:A126)+1)</f>
        <v/>
      </c>
      <c r="B127" s="86"/>
      <c r="C127" s="85"/>
      <c r="D127" s="85"/>
      <c r="E127" s="85"/>
      <c r="F127" s="85"/>
      <c r="G127" s="85"/>
      <c r="H127" s="85"/>
      <c r="I127" s="85"/>
      <c r="J127" s="85"/>
      <c r="K127" s="85"/>
      <c r="L127" s="85"/>
      <c r="M127" s="77"/>
      <c r="N127" s="77"/>
      <c r="O127" s="78"/>
      <c r="P127" s="79"/>
      <c r="Q127" s="79"/>
      <c r="R127" s="82" t="str">
        <f t="shared" si="2"/>
        <v/>
      </c>
    </row>
    <row r="128" spans="1:18" x14ac:dyDescent="0.25">
      <c r="A128" s="83" t="str">
        <f>IFERROR(IF(C128&lt;&gt;"",A127+1,""),MAX($A$10:A127)+1)</f>
        <v/>
      </c>
      <c r="B128" s="86"/>
      <c r="C128" s="85"/>
      <c r="D128" s="85"/>
      <c r="E128" s="85"/>
      <c r="F128" s="85"/>
      <c r="G128" s="85"/>
      <c r="H128" s="85"/>
      <c r="I128" s="85"/>
      <c r="J128" s="85"/>
      <c r="K128" s="85"/>
      <c r="L128" s="85"/>
      <c r="M128" s="77"/>
      <c r="N128" s="77"/>
      <c r="O128" s="78"/>
      <c r="P128" s="79"/>
      <c r="Q128" s="79"/>
      <c r="R128" s="82" t="str">
        <f t="shared" si="2"/>
        <v/>
      </c>
    </row>
    <row r="129" spans="1:18" x14ac:dyDescent="0.25">
      <c r="A129" s="83" t="str">
        <f>IFERROR(IF(C129&lt;&gt;"",A128+1,""),MAX($A$10:A128)+1)</f>
        <v/>
      </c>
      <c r="B129" s="86"/>
      <c r="C129" s="85"/>
      <c r="D129" s="85"/>
      <c r="E129" s="85"/>
      <c r="F129" s="85"/>
      <c r="G129" s="85"/>
      <c r="H129" s="85"/>
      <c r="I129" s="85"/>
      <c r="J129" s="85"/>
      <c r="K129" s="85"/>
      <c r="L129" s="85"/>
      <c r="M129" s="77"/>
      <c r="N129" s="77"/>
      <c r="O129" s="78"/>
      <c r="P129" s="79"/>
      <c r="Q129" s="79"/>
      <c r="R129" s="82" t="str">
        <f t="shared" si="2"/>
        <v/>
      </c>
    </row>
    <row r="130" spans="1:18" x14ac:dyDescent="0.25">
      <c r="A130" s="83" t="str">
        <f>IFERROR(IF(C130&lt;&gt;"",A129+1,""),MAX($A$10:A129)+1)</f>
        <v/>
      </c>
      <c r="B130" s="86"/>
      <c r="C130" s="85"/>
      <c r="D130" s="85"/>
      <c r="E130" s="85"/>
      <c r="F130" s="85"/>
      <c r="G130" s="85"/>
      <c r="H130" s="85"/>
      <c r="I130" s="85"/>
      <c r="J130" s="85"/>
      <c r="K130" s="85"/>
      <c r="L130" s="85"/>
      <c r="M130" s="77"/>
      <c r="N130" s="77"/>
      <c r="O130" s="78"/>
      <c r="P130" s="79"/>
      <c r="Q130" s="79"/>
      <c r="R130" s="82" t="str">
        <f t="shared" si="2"/>
        <v/>
      </c>
    </row>
    <row r="131" spans="1:18" x14ac:dyDescent="0.25">
      <c r="A131" s="83" t="str">
        <f>IFERROR(IF(C131&lt;&gt;"",A130+1,""),MAX($A$10:A130)+1)</f>
        <v/>
      </c>
      <c r="B131" s="86"/>
      <c r="C131" s="85"/>
      <c r="D131" s="85"/>
      <c r="E131" s="85"/>
      <c r="F131" s="85"/>
      <c r="G131" s="85"/>
      <c r="H131" s="85"/>
      <c r="I131" s="85"/>
      <c r="J131" s="85"/>
      <c r="K131" s="85"/>
      <c r="L131" s="85"/>
      <c r="M131" s="77"/>
      <c r="N131" s="77"/>
      <c r="O131" s="78"/>
      <c r="P131" s="79"/>
      <c r="Q131" s="79"/>
      <c r="R131" s="82" t="str">
        <f t="shared" si="2"/>
        <v/>
      </c>
    </row>
    <row r="132" spans="1:18" x14ac:dyDescent="0.25">
      <c r="A132" s="83" t="str">
        <f>IFERROR(IF(C132&lt;&gt;"",A131+1,""),MAX($A$10:A131)+1)</f>
        <v/>
      </c>
      <c r="B132" s="86"/>
      <c r="C132" s="85"/>
      <c r="D132" s="85"/>
      <c r="E132" s="85"/>
      <c r="F132" s="85"/>
      <c r="G132" s="85"/>
      <c r="H132" s="85"/>
      <c r="I132" s="85"/>
      <c r="J132" s="85"/>
      <c r="K132" s="85"/>
      <c r="L132" s="85"/>
      <c r="M132" s="77"/>
      <c r="N132" s="77"/>
      <c r="O132" s="78"/>
      <c r="P132" s="79"/>
      <c r="Q132" s="79"/>
      <c r="R132" s="82" t="str">
        <f t="shared" si="2"/>
        <v/>
      </c>
    </row>
    <row r="133" spans="1:18" x14ac:dyDescent="0.25">
      <c r="A133" s="83" t="str">
        <f>IFERROR(IF(C133&lt;&gt;"",A132+1,""),MAX($A$10:A132)+1)</f>
        <v/>
      </c>
      <c r="B133" s="86"/>
      <c r="C133" s="85"/>
      <c r="D133" s="85"/>
      <c r="E133" s="85"/>
      <c r="F133" s="85"/>
      <c r="G133" s="85"/>
      <c r="H133" s="85"/>
      <c r="I133" s="85"/>
      <c r="J133" s="85"/>
      <c r="K133" s="85"/>
      <c r="L133" s="85"/>
      <c r="M133" s="77"/>
      <c r="N133" s="77"/>
      <c r="O133" s="78"/>
      <c r="P133" s="79"/>
      <c r="Q133" s="79"/>
      <c r="R133" s="82" t="str">
        <f t="shared" si="2"/>
        <v/>
      </c>
    </row>
    <row r="134" spans="1:18" x14ac:dyDescent="0.25">
      <c r="A134" s="83" t="str">
        <f>IFERROR(IF(C134&lt;&gt;"",A133+1,""),MAX($A$10:A133)+1)</f>
        <v/>
      </c>
      <c r="B134" s="86"/>
      <c r="C134" s="85"/>
      <c r="D134" s="85"/>
      <c r="E134" s="85"/>
      <c r="F134" s="85"/>
      <c r="G134" s="85"/>
      <c r="H134" s="85"/>
      <c r="I134" s="85"/>
      <c r="J134" s="85"/>
      <c r="K134" s="85"/>
      <c r="L134" s="85"/>
      <c r="M134" s="77"/>
      <c r="N134" s="77"/>
      <c r="O134" s="78"/>
      <c r="P134" s="79"/>
      <c r="Q134" s="79"/>
      <c r="R134" s="82" t="str">
        <f t="shared" si="2"/>
        <v/>
      </c>
    </row>
    <row r="135" spans="1:18" x14ac:dyDescent="0.25">
      <c r="A135" s="83" t="str">
        <f>IFERROR(IF(C135&lt;&gt;"",A134+1,""),MAX($A$10:A134)+1)</f>
        <v/>
      </c>
      <c r="B135" s="86"/>
      <c r="C135" s="85"/>
      <c r="D135" s="85"/>
      <c r="E135" s="85"/>
      <c r="F135" s="85"/>
      <c r="G135" s="85"/>
      <c r="H135" s="85"/>
      <c r="I135" s="85"/>
      <c r="J135" s="85"/>
      <c r="K135" s="85"/>
      <c r="L135" s="85"/>
      <c r="M135" s="77"/>
      <c r="N135" s="77"/>
      <c r="O135" s="78"/>
      <c r="P135" s="79"/>
      <c r="Q135" s="79"/>
      <c r="R135" s="82" t="str">
        <f t="shared" si="2"/>
        <v/>
      </c>
    </row>
    <row r="136" spans="1:18" x14ac:dyDescent="0.25">
      <c r="A136" s="83" t="str">
        <f>IFERROR(IF(C136&lt;&gt;"",A135+1,""),MAX($A$10:A135)+1)</f>
        <v/>
      </c>
      <c r="B136" s="86"/>
      <c r="C136" s="85"/>
      <c r="D136" s="85"/>
      <c r="E136" s="85"/>
      <c r="F136" s="85"/>
      <c r="G136" s="85"/>
      <c r="H136" s="85"/>
      <c r="I136" s="85"/>
      <c r="J136" s="85"/>
      <c r="K136" s="85"/>
      <c r="L136" s="85"/>
      <c r="M136" s="77"/>
      <c r="N136" s="77"/>
      <c r="O136" s="78"/>
      <c r="P136" s="79"/>
      <c r="Q136" s="79"/>
      <c r="R136" s="82" t="str">
        <f t="shared" si="2"/>
        <v/>
      </c>
    </row>
    <row r="137" spans="1:18" x14ac:dyDescent="0.25">
      <c r="A137" s="83" t="str">
        <f>IFERROR(IF(C137&lt;&gt;"",A136+1,""),MAX($A$10:A136)+1)</f>
        <v/>
      </c>
      <c r="B137" s="86"/>
      <c r="C137" s="85"/>
      <c r="D137" s="85"/>
      <c r="E137" s="85"/>
      <c r="F137" s="85"/>
      <c r="G137" s="85"/>
      <c r="H137" s="85"/>
      <c r="I137" s="85"/>
      <c r="J137" s="85"/>
      <c r="K137" s="85"/>
      <c r="L137" s="85"/>
      <c r="M137" s="77"/>
      <c r="N137" s="77"/>
      <c r="O137" s="78"/>
      <c r="P137" s="79"/>
      <c r="Q137" s="79"/>
      <c r="R137" s="82" t="str">
        <f t="shared" si="2"/>
        <v/>
      </c>
    </row>
    <row r="138" spans="1:18" x14ac:dyDescent="0.25">
      <c r="A138" s="83" t="str">
        <f>IFERROR(IF(C138&lt;&gt;"",A137+1,""),MAX($A$10:A137)+1)</f>
        <v/>
      </c>
      <c r="B138" s="86"/>
      <c r="C138" s="85"/>
      <c r="D138" s="85"/>
      <c r="E138" s="85"/>
      <c r="F138" s="85"/>
      <c r="G138" s="85"/>
      <c r="H138" s="85"/>
      <c r="I138" s="85"/>
      <c r="J138" s="85"/>
      <c r="K138" s="85"/>
      <c r="L138" s="85"/>
      <c r="M138" s="77"/>
      <c r="N138" s="77"/>
      <c r="O138" s="78"/>
      <c r="P138" s="79"/>
      <c r="Q138" s="79"/>
      <c r="R138" s="82" t="str">
        <f t="shared" si="2"/>
        <v/>
      </c>
    </row>
    <row r="139" spans="1:18" x14ac:dyDescent="0.25">
      <c r="A139" s="83" t="str">
        <f>IFERROR(IF(C139&lt;&gt;"",A138+1,""),MAX($A$10:A138)+1)</f>
        <v/>
      </c>
      <c r="B139" s="86"/>
      <c r="C139" s="85"/>
      <c r="D139" s="85"/>
      <c r="E139" s="85"/>
      <c r="F139" s="85"/>
      <c r="G139" s="85"/>
      <c r="H139" s="85"/>
      <c r="I139" s="85"/>
      <c r="J139" s="85"/>
      <c r="K139" s="85"/>
      <c r="L139" s="85"/>
      <c r="M139" s="77"/>
      <c r="N139" s="77"/>
      <c r="O139" s="78"/>
      <c r="P139" s="79"/>
      <c r="Q139" s="79"/>
      <c r="R139" s="82" t="str">
        <f t="shared" ref="R139:R202" si="3">IFERROR(IF((Q139-P139)=0,"",HOUR(Q139-P139)+MINUTE(Q139-P139)/60),"")</f>
        <v/>
      </c>
    </row>
    <row r="140" spans="1:18" x14ac:dyDescent="0.25">
      <c r="A140" s="83" t="str">
        <f>IFERROR(IF(C140&lt;&gt;"",A139+1,""),MAX($A$10:A139)+1)</f>
        <v/>
      </c>
      <c r="B140" s="86"/>
      <c r="C140" s="85"/>
      <c r="D140" s="85"/>
      <c r="E140" s="85"/>
      <c r="F140" s="85"/>
      <c r="G140" s="85"/>
      <c r="H140" s="85"/>
      <c r="I140" s="85"/>
      <c r="J140" s="85"/>
      <c r="K140" s="85"/>
      <c r="L140" s="85"/>
      <c r="M140" s="77"/>
      <c r="N140" s="77"/>
      <c r="O140" s="78"/>
      <c r="P140" s="79"/>
      <c r="Q140" s="79"/>
      <c r="R140" s="82" t="str">
        <f t="shared" si="3"/>
        <v/>
      </c>
    </row>
    <row r="141" spans="1:18" x14ac:dyDescent="0.25">
      <c r="A141" s="83" t="str">
        <f>IFERROR(IF(C141&lt;&gt;"",A140+1,""),MAX($A$10:A140)+1)</f>
        <v/>
      </c>
      <c r="B141" s="86"/>
      <c r="C141" s="85"/>
      <c r="D141" s="85"/>
      <c r="E141" s="85"/>
      <c r="F141" s="85"/>
      <c r="G141" s="85"/>
      <c r="H141" s="85"/>
      <c r="I141" s="85"/>
      <c r="J141" s="85"/>
      <c r="K141" s="85"/>
      <c r="L141" s="85"/>
      <c r="M141" s="77"/>
      <c r="N141" s="77"/>
      <c r="O141" s="78"/>
      <c r="P141" s="79"/>
      <c r="Q141" s="79"/>
      <c r="R141" s="82" t="str">
        <f t="shared" si="3"/>
        <v/>
      </c>
    </row>
    <row r="142" spans="1:18" x14ac:dyDescent="0.25">
      <c r="A142" s="83" t="str">
        <f>IFERROR(IF(C142&lt;&gt;"",A141+1,""),MAX($A$10:A141)+1)</f>
        <v/>
      </c>
      <c r="B142" s="86"/>
      <c r="C142" s="85"/>
      <c r="D142" s="85"/>
      <c r="E142" s="85"/>
      <c r="F142" s="85"/>
      <c r="G142" s="85"/>
      <c r="H142" s="85"/>
      <c r="I142" s="85"/>
      <c r="J142" s="85"/>
      <c r="K142" s="85"/>
      <c r="L142" s="85"/>
      <c r="M142" s="77"/>
      <c r="N142" s="77"/>
      <c r="O142" s="78"/>
      <c r="P142" s="79"/>
      <c r="Q142" s="79"/>
      <c r="R142" s="82" t="str">
        <f t="shared" si="3"/>
        <v/>
      </c>
    </row>
    <row r="143" spans="1:18" x14ac:dyDescent="0.25">
      <c r="A143" s="83" t="str">
        <f>IFERROR(IF(C143&lt;&gt;"",A142+1,""),MAX($A$10:A142)+1)</f>
        <v/>
      </c>
      <c r="B143" s="86"/>
      <c r="C143" s="85"/>
      <c r="D143" s="85"/>
      <c r="E143" s="85"/>
      <c r="F143" s="85"/>
      <c r="G143" s="85"/>
      <c r="H143" s="85"/>
      <c r="I143" s="85"/>
      <c r="J143" s="85"/>
      <c r="K143" s="85"/>
      <c r="L143" s="85"/>
      <c r="M143" s="77"/>
      <c r="N143" s="77"/>
      <c r="O143" s="78"/>
      <c r="P143" s="79"/>
      <c r="Q143" s="79"/>
      <c r="R143" s="82" t="str">
        <f t="shared" si="3"/>
        <v/>
      </c>
    </row>
    <row r="144" spans="1:18" x14ac:dyDescent="0.25">
      <c r="A144" s="83" t="str">
        <f>IFERROR(IF(C144&lt;&gt;"",A143+1,""),MAX($A$10:A143)+1)</f>
        <v/>
      </c>
      <c r="B144" s="86"/>
      <c r="C144" s="85"/>
      <c r="D144" s="85"/>
      <c r="E144" s="85"/>
      <c r="F144" s="85"/>
      <c r="G144" s="85"/>
      <c r="H144" s="85"/>
      <c r="I144" s="85"/>
      <c r="J144" s="85"/>
      <c r="K144" s="85"/>
      <c r="L144" s="85"/>
      <c r="M144" s="77"/>
      <c r="N144" s="77"/>
      <c r="O144" s="78"/>
      <c r="P144" s="79"/>
      <c r="Q144" s="79"/>
      <c r="R144" s="82" t="str">
        <f t="shared" si="3"/>
        <v/>
      </c>
    </row>
    <row r="145" spans="1:18" x14ac:dyDescent="0.25">
      <c r="A145" s="83" t="str">
        <f>IFERROR(IF(C145&lt;&gt;"",A144+1,""),MAX($A$10:A144)+1)</f>
        <v/>
      </c>
      <c r="B145" s="86"/>
      <c r="C145" s="85"/>
      <c r="D145" s="85"/>
      <c r="E145" s="85"/>
      <c r="F145" s="85"/>
      <c r="G145" s="85"/>
      <c r="H145" s="85"/>
      <c r="I145" s="85"/>
      <c r="J145" s="85"/>
      <c r="K145" s="85"/>
      <c r="L145" s="85"/>
      <c r="M145" s="77"/>
      <c r="N145" s="77"/>
      <c r="O145" s="78"/>
      <c r="P145" s="79"/>
      <c r="Q145" s="79"/>
      <c r="R145" s="82" t="str">
        <f t="shared" si="3"/>
        <v/>
      </c>
    </row>
    <row r="146" spans="1:18" x14ac:dyDescent="0.25">
      <c r="A146" s="83" t="str">
        <f>IFERROR(IF(C146&lt;&gt;"",A145+1,""),MAX($A$10:A145)+1)</f>
        <v/>
      </c>
      <c r="B146" s="86"/>
      <c r="C146" s="85"/>
      <c r="D146" s="85"/>
      <c r="E146" s="85"/>
      <c r="F146" s="85"/>
      <c r="G146" s="85"/>
      <c r="H146" s="85"/>
      <c r="I146" s="85"/>
      <c r="J146" s="85"/>
      <c r="K146" s="85"/>
      <c r="L146" s="85"/>
      <c r="M146" s="77"/>
      <c r="N146" s="77"/>
      <c r="O146" s="78"/>
      <c r="P146" s="79"/>
      <c r="Q146" s="79"/>
      <c r="R146" s="82" t="str">
        <f t="shared" si="3"/>
        <v/>
      </c>
    </row>
    <row r="147" spans="1:18" x14ac:dyDescent="0.25">
      <c r="A147" s="83" t="str">
        <f>IFERROR(IF(C147&lt;&gt;"",A146+1,""),MAX($A$10:A146)+1)</f>
        <v/>
      </c>
      <c r="B147" s="86"/>
      <c r="C147" s="85"/>
      <c r="D147" s="85"/>
      <c r="E147" s="85"/>
      <c r="F147" s="85"/>
      <c r="G147" s="85"/>
      <c r="H147" s="85"/>
      <c r="I147" s="85"/>
      <c r="J147" s="85"/>
      <c r="K147" s="85"/>
      <c r="L147" s="85"/>
      <c r="M147" s="77"/>
      <c r="N147" s="77"/>
      <c r="O147" s="78"/>
      <c r="P147" s="79"/>
      <c r="Q147" s="79"/>
      <c r="R147" s="82" t="str">
        <f t="shared" si="3"/>
        <v/>
      </c>
    </row>
    <row r="148" spans="1:18" x14ac:dyDescent="0.25">
      <c r="A148" s="83" t="str">
        <f>IFERROR(IF(C148&lt;&gt;"",A147+1,""),MAX($A$10:A147)+1)</f>
        <v/>
      </c>
      <c r="B148" s="86"/>
      <c r="C148" s="85"/>
      <c r="D148" s="85"/>
      <c r="E148" s="85"/>
      <c r="F148" s="85"/>
      <c r="G148" s="85"/>
      <c r="H148" s="85"/>
      <c r="I148" s="85"/>
      <c r="J148" s="85"/>
      <c r="K148" s="85"/>
      <c r="L148" s="85"/>
      <c r="M148" s="77"/>
      <c r="N148" s="77"/>
      <c r="O148" s="78"/>
      <c r="P148" s="79"/>
      <c r="Q148" s="79"/>
      <c r="R148" s="82" t="str">
        <f t="shared" si="3"/>
        <v/>
      </c>
    </row>
    <row r="149" spans="1:18" x14ac:dyDescent="0.25">
      <c r="A149" s="83" t="str">
        <f>IFERROR(IF(C149&lt;&gt;"",A148+1,""),MAX($A$10:A148)+1)</f>
        <v/>
      </c>
      <c r="B149" s="86"/>
      <c r="C149" s="85"/>
      <c r="D149" s="85"/>
      <c r="E149" s="85"/>
      <c r="F149" s="85"/>
      <c r="G149" s="85"/>
      <c r="H149" s="85"/>
      <c r="I149" s="85"/>
      <c r="J149" s="85"/>
      <c r="K149" s="85"/>
      <c r="L149" s="85"/>
      <c r="M149" s="77"/>
      <c r="N149" s="77"/>
      <c r="O149" s="78"/>
      <c r="P149" s="79"/>
      <c r="Q149" s="79"/>
      <c r="R149" s="82" t="str">
        <f t="shared" si="3"/>
        <v/>
      </c>
    </row>
    <row r="150" spans="1:18" x14ac:dyDescent="0.25">
      <c r="A150" s="83" t="str">
        <f>IFERROR(IF(C150&lt;&gt;"",A149+1,""),MAX($A$10:A149)+1)</f>
        <v/>
      </c>
      <c r="B150" s="86"/>
      <c r="C150" s="85"/>
      <c r="D150" s="85"/>
      <c r="E150" s="85"/>
      <c r="F150" s="85"/>
      <c r="G150" s="85"/>
      <c r="H150" s="85"/>
      <c r="I150" s="85"/>
      <c r="J150" s="85"/>
      <c r="K150" s="85"/>
      <c r="L150" s="85"/>
      <c r="M150" s="77"/>
      <c r="N150" s="77"/>
      <c r="O150" s="78"/>
      <c r="P150" s="79"/>
      <c r="Q150" s="79"/>
      <c r="R150" s="82" t="str">
        <f t="shared" si="3"/>
        <v/>
      </c>
    </row>
    <row r="151" spans="1:18" x14ac:dyDescent="0.25">
      <c r="A151" s="83" t="str">
        <f>IFERROR(IF(C151&lt;&gt;"",A150+1,""),MAX($A$10:A150)+1)</f>
        <v/>
      </c>
      <c r="B151" s="86"/>
      <c r="C151" s="85"/>
      <c r="D151" s="85"/>
      <c r="E151" s="85"/>
      <c r="F151" s="85"/>
      <c r="G151" s="85"/>
      <c r="H151" s="85"/>
      <c r="I151" s="85"/>
      <c r="J151" s="85"/>
      <c r="K151" s="85"/>
      <c r="L151" s="85"/>
      <c r="M151" s="77"/>
      <c r="N151" s="77"/>
      <c r="O151" s="78"/>
      <c r="P151" s="79"/>
      <c r="Q151" s="79"/>
      <c r="R151" s="82" t="str">
        <f t="shared" si="3"/>
        <v/>
      </c>
    </row>
    <row r="152" spans="1:18" x14ac:dyDescent="0.25">
      <c r="A152" s="83" t="str">
        <f>IFERROR(IF(C152&lt;&gt;"",A151+1,""),MAX($A$10:A151)+1)</f>
        <v/>
      </c>
      <c r="B152" s="86"/>
      <c r="C152" s="85"/>
      <c r="D152" s="85"/>
      <c r="E152" s="85"/>
      <c r="F152" s="85"/>
      <c r="G152" s="85"/>
      <c r="H152" s="85"/>
      <c r="I152" s="85"/>
      <c r="J152" s="85"/>
      <c r="K152" s="85"/>
      <c r="L152" s="85"/>
      <c r="M152" s="77"/>
      <c r="N152" s="77"/>
      <c r="O152" s="78"/>
      <c r="P152" s="79"/>
      <c r="Q152" s="79"/>
      <c r="R152" s="82" t="str">
        <f t="shared" si="3"/>
        <v/>
      </c>
    </row>
    <row r="153" spans="1:18" x14ac:dyDescent="0.25">
      <c r="A153" s="83" t="str">
        <f>IFERROR(IF(C153&lt;&gt;"",A152+1,""),MAX($A$10:A152)+1)</f>
        <v/>
      </c>
      <c r="B153" s="86"/>
      <c r="C153" s="85"/>
      <c r="D153" s="85"/>
      <c r="E153" s="85"/>
      <c r="F153" s="85"/>
      <c r="G153" s="85"/>
      <c r="H153" s="85"/>
      <c r="I153" s="85"/>
      <c r="J153" s="85"/>
      <c r="K153" s="85"/>
      <c r="L153" s="85"/>
      <c r="M153" s="77"/>
      <c r="N153" s="77"/>
      <c r="O153" s="78"/>
      <c r="P153" s="79"/>
      <c r="Q153" s="79"/>
      <c r="R153" s="82" t="str">
        <f t="shared" si="3"/>
        <v/>
      </c>
    </row>
    <row r="154" spans="1:18" x14ac:dyDescent="0.25">
      <c r="A154" s="83" t="str">
        <f>IFERROR(IF(C154&lt;&gt;"",A153+1,""),MAX($A$10:A153)+1)</f>
        <v/>
      </c>
      <c r="B154" s="86"/>
      <c r="C154" s="85"/>
      <c r="D154" s="85"/>
      <c r="E154" s="85"/>
      <c r="F154" s="85"/>
      <c r="G154" s="85"/>
      <c r="H154" s="85"/>
      <c r="I154" s="85"/>
      <c r="J154" s="85"/>
      <c r="K154" s="85"/>
      <c r="L154" s="85"/>
      <c r="M154" s="77"/>
      <c r="N154" s="77"/>
      <c r="O154" s="78"/>
      <c r="P154" s="79"/>
      <c r="Q154" s="79"/>
      <c r="R154" s="82" t="str">
        <f t="shared" si="3"/>
        <v/>
      </c>
    </row>
    <row r="155" spans="1:18" x14ac:dyDescent="0.25">
      <c r="A155" s="83" t="str">
        <f>IFERROR(IF(C155&lt;&gt;"",A154+1,""),MAX($A$10:A154)+1)</f>
        <v/>
      </c>
      <c r="B155" s="86"/>
      <c r="C155" s="85"/>
      <c r="D155" s="85"/>
      <c r="E155" s="85"/>
      <c r="F155" s="85"/>
      <c r="G155" s="85"/>
      <c r="H155" s="85"/>
      <c r="I155" s="85"/>
      <c r="J155" s="85"/>
      <c r="K155" s="85"/>
      <c r="L155" s="85"/>
      <c r="M155" s="77"/>
      <c r="N155" s="77"/>
      <c r="O155" s="78"/>
      <c r="P155" s="79"/>
      <c r="Q155" s="79"/>
      <c r="R155" s="82" t="str">
        <f t="shared" si="3"/>
        <v/>
      </c>
    </row>
    <row r="156" spans="1:18" x14ac:dyDescent="0.25">
      <c r="A156" s="83" t="str">
        <f>IFERROR(IF(C156&lt;&gt;"",A155+1,""),MAX($A$10:A155)+1)</f>
        <v/>
      </c>
      <c r="B156" s="86"/>
      <c r="C156" s="85"/>
      <c r="D156" s="85"/>
      <c r="E156" s="85"/>
      <c r="F156" s="85"/>
      <c r="G156" s="85"/>
      <c r="H156" s="85"/>
      <c r="I156" s="85"/>
      <c r="J156" s="85"/>
      <c r="K156" s="85"/>
      <c r="L156" s="85"/>
      <c r="M156" s="77"/>
      <c r="N156" s="77"/>
      <c r="O156" s="78"/>
      <c r="P156" s="79"/>
      <c r="Q156" s="79"/>
      <c r="R156" s="82" t="str">
        <f t="shared" si="3"/>
        <v/>
      </c>
    </row>
    <row r="157" spans="1:18" x14ac:dyDescent="0.25">
      <c r="A157" s="83" t="str">
        <f>IFERROR(IF(C157&lt;&gt;"",A156+1,""),MAX($A$10:A156)+1)</f>
        <v/>
      </c>
      <c r="B157" s="86"/>
      <c r="C157" s="85"/>
      <c r="D157" s="85"/>
      <c r="E157" s="85"/>
      <c r="F157" s="85"/>
      <c r="G157" s="85"/>
      <c r="H157" s="85"/>
      <c r="I157" s="85"/>
      <c r="J157" s="85"/>
      <c r="K157" s="85"/>
      <c r="L157" s="85"/>
      <c r="M157" s="77"/>
      <c r="N157" s="77"/>
      <c r="O157" s="78"/>
      <c r="P157" s="79"/>
      <c r="Q157" s="79"/>
      <c r="R157" s="82" t="str">
        <f t="shared" si="3"/>
        <v/>
      </c>
    </row>
    <row r="158" spans="1:18" x14ac:dyDescent="0.25">
      <c r="A158" s="83" t="str">
        <f>IFERROR(IF(C158&lt;&gt;"",A157+1,""),MAX($A$10:A157)+1)</f>
        <v/>
      </c>
      <c r="B158" s="86"/>
      <c r="C158" s="85"/>
      <c r="D158" s="85"/>
      <c r="E158" s="85"/>
      <c r="F158" s="85"/>
      <c r="G158" s="85"/>
      <c r="H158" s="85"/>
      <c r="I158" s="85"/>
      <c r="J158" s="85"/>
      <c r="K158" s="85"/>
      <c r="L158" s="85"/>
      <c r="M158" s="77"/>
      <c r="N158" s="77"/>
      <c r="O158" s="78"/>
      <c r="P158" s="79"/>
      <c r="Q158" s="79"/>
      <c r="R158" s="82" t="str">
        <f t="shared" si="3"/>
        <v/>
      </c>
    </row>
    <row r="159" spans="1:18" x14ac:dyDescent="0.25">
      <c r="A159" s="83" t="str">
        <f>IFERROR(IF(C159&lt;&gt;"",A158+1,""),MAX($A$10:A158)+1)</f>
        <v/>
      </c>
      <c r="B159" s="86"/>
      <c r="C159" s="85"/>
      <c r="D159" s="85"/>
      <c r="E159" s="85"/>
      <c r="F159" s="85"/>
      <c r="G159" s="85"/>
      <c r="H159" s="85"/>
      <c r="I159" s="85"/>
      <c r="J159" s="85"/>
      <c r="K159" s="85"/>
      <c r="L159" s="85"/>
      <c r="M159" s="77"/>
      <c r="N159" s="77"/>
      <c r="O159" s="78"/>
      <c r="P159" s="79"/>
      <c r="Q159" s="79"/>
      <c r="R159" s="82" t="str">
        <f t="shared" si="3"/>
        <v/>
      </c>
    </row>
    <row r="160" spans="1:18" x14ac:dyDescent="0.25">
      <c r="A160" s="83" t="str">
        <f>IFERROR(IF(C160&lt;&gt;"",A159+1,""),MAX($A$10:A159)+1)</f>
        <v/>
      </c>
      <c r="B160" s="86"/>
      <c r="C160" s="85"/>
      <c r="D160" s="85"/>
      <c r="E160" s="85"/>
      <c r="F160" s="85"/>
      <c r="G160" s="85"/>
      <c r="H160" s="85"/>
      <c r="I160" s="85"/>
      <c r="J160" s="85"/>
      <c r="K160" s="85"/>
      <c r="L160" s="85"/>
      <c r="M160" s="77"/>
      <c r="N160" s="77"/>
      <c r="O160" s="78"/>
      <c r="P160" s="79"/>
      <c r="Q160" s="79"/>
      <c r="R160" s="82" t="str">
        <f t="shared" si="3"/>
        <v/>
      </c>
    </row>
    <row r="161" spans="1:18" x14ac:dyDescent="0.25">
      <c r="A161" s="83" t="str">
        <f>IFERROR(IF(C161&lt;&gt;"",A160+1,""),MAX($A$10:A160)+1)</f>
        <v/>
      </c>
      <c r="B161" s="86"/>
      <c r="C161" s="85"/>
      <c r="D161" s="85"/>
      <c r="E161" s="85"/>
      <c r="F161" s="85"/>
      <c r="G161" s="85"/>
      <c r="H161" s="85"/>
      <c r="I161" s="85"/>
      <c r="J161" s="85"/>
      <c r="K161" s="85"/>
      <c r="L161" s="85"/>
      <c r="M161" s="77"/>
      <c r="N161" s="77"/>
      <c r="O161" s="78"/>
      <c r="P161" s="79"/>
      <c r="Q161" s="79"/>
      <c r="R161" s="82" t="str">
        <f t="shared" si="3"/>
        <v/>
      </c>
    </row>
    <row r="162" spans="1:18" x14ac:dyDescent="0.25">
      <c r="A162" s="83" t="str">
        <f>IFERROR(IF(C162&lt;&gt;"",A161+1,""),MAX($A$10:A161)+1)</f>
        <v/>
      </c>
      <c r="B162" s="86"/>
      <c r="C162" s="85"/>
      <c r="D162" s="85"/>
      <c r="E162" s="85"/>
      <c r="F162" s="85"/>
      <c r="G162" s="85"/>
      <c r="H162" s="85"/>
      <c r="I162" s="85"/>
      <c r="J162" s="85"/>
      <c r="K162" s="85"/>
      <c r="L162" s="85"/>
      <c r="M162" s="77"/>
      <c r="N162" s="77"/>
      <c r="O162" s="78"/>
      <c r="P162" s="79"/>
      <c r="Q162" s="79"/>
      <c r="R162" s="82" t="str">
        <f t="shared" si="3"/>
        <v/>
      </c>
    </row>
    <row r="163" spans="1:18" x14ac:dyDescent="0.25">
      <c r="A163" s="83" t="str">
        <f>IFERROR(IF(C163&lt;&gt;"",A162+1,""),MAX($A$10:A162)+1)</f>
        <v/>
      </c>
      <c r="B163" s="86"/>
      <c r="C163" s="85"/>
      <c r="D163" s="85"/>
      <c r="E163" s="85"/>
      <c r="F163" s="85"/>
      <c r="G163" s="85"/>
      <c r="H163" s="85"/>
      <c r="I163" s="85"/>
      <c r="J163" s="85"/>
      <c r="K163" s="85"/>
      <c r="L163" s="85"/>
      <c r="M163" s="77"/>
      <c r="N163" s="77"/>
      <c r="O163" s="78"/>
      <c r="P163" s="79"/>
      <c r="Q163" s="79"/>
      <c r="R163" s="82" t="str">
        <f t="shared" si="3"/>
        <v/>
      </c>
    </row>
    <row r="164" spans="1:18" x14ac:dyDescent="0.25">
      <c r="A164" s="83" t="str">
        <f>IFERROR(IF(C164&lt;&gt;"",A163+1,""),MAX($A$10:A163)+1)</f>
        <v/>
      </c>
      <c r="B164" s="86"/>
      <c r="C164" s="85"/>
      <c r="D164" s="85"/>
      <c r="E164" s="85"/>
      <c r="F164" s="85"/>
      <c r="G164" s="85"/>
      <c r="H164" s="85"/>
      <c r="I164" s="85"/>
      <c r="J164" s="85"/>
      <c r="K164" s="85"/>
      <c r="L164" s="85"/>
      <c r="M164" s="77"/>
      <c r="N164" s="77"/>
      <c r="O164" s="78"/>
      <c r="P164" s="79"/>
      <c r="Q164" s="79"/>
      <c r="R164" s="82" t="str">
        <f t="shared" si="3"/>
        <v/>
      </c>
    </row>
    <row r="165" spans="1:18" x14ac:dyDescent="0.25">
      <c r="A165" s="83" t="str">
        <f>IFERROR(IF(C165&lt;&gt;"",A164+1,""),MAX($A$10:A164)+1)</f>
        <v/>
      </c>
      <c r="B165" s="86"/>
      <c r="C165" s="85"/>
      <c r="D165" s="85"/>
      <c r="E165" s="85"/>
      <c r="F165" s="85"/>
      <c r="G165" s="85"/>
      <c r="H165" s="85"/>
      <c r="I165" s="85"/>
      <c r="J165" s="85"/>
      <c r="K165" s="85"/>
      <c r="L165" s="85"/>
      <c r="M165" s="77"/>
      <c r="N165" s="77"/>
      <c r="O165" s="78"/>
      <c r="P165" s="79"/>
      <c r="Q165" s="79"/>
      <c r="R165" s="82" t="str">
        <f t="shared" si="3"/>
        <v/>
      </c>
    </row>
    <row r="166" spans="1:18" x14ac:dyDescent="0.25">
      <c r="A166" s="83" t="str">
        <f>IFERROR(IF(C166&lt;&gt;"",A165+1,""),MAX($A$10:A165)+1)</f>
        <v/>
      </c>
      <c r="B166" s="86"/>
      <c r="C166" s="85"/>
      <c r="D166" s="85"/>
      <c r="E166" s="85"/>
      <c r="F166" s="85"/>
      <c r="G166" s="85"/>
      <c r="H166" s="85"/>
      <c r="I166" s="85"/>
      <c r="J166" s="85"/>
      <c r="K166" s="85"/>
      <c r="L166" s="85"/>
      <c r="M166" s="77"/>
      <c r="N166" s="77"/>
      <c r="O166" s="78"/>
      <c r="P166" s="79"/>
      <c r="Q166" s="79"/>
      <c r="R166" s="82" t="str">
        <f t="shared" si="3"/>
        <v/>
      </c>
    </row>
    <row r="167" spans="1:18" x14ac:dyDescent="0.25">
      <c r="A167" s="83" t="str">
        <f>IFERROR(IF(C167&lt;&gt;"",A166+1,""),MAX($A$10:A166)+1)</f>
        <v/>
      </c>
      <c r="B167" s="86"/>
      <c r="C167" s="85"/>
      <c r="D167" s="85"/>
      <c r="E167" s="85"/>
      <c r="F167" s="85"/>
      <c r="G167" s="85"/>
      <c r="H167" s="85"/>
      <c r="I167" s="85"/>
      <c r="J167" s="85"/>
      <c r="K167" s="85"/>
      <c r="L167" s="85"/>
      <c r="M167" s="77"/>
      <c r="N167" s="77"/>
      <c r="O167" s="78"/>
      <c r="P167" s="79"/>
      <c r="Q167" s="79"/>
      <c r="R167" s="82" t="str">
        <f t="shared" si="3"/>
        <v/>
      </c>
    </row>
    <row r="168" spans="1:18" x14ac:dyDescent="0.25">
      <c r="A168" s="83" t="str">
        <f>IFERROR(IF(C168&lt;&gt;"",A167+1,""),MAX($A$10:A167)+1)</f>
        <v/>
      </c>
      <c r="B168" s="86"/>
      <c r="C168" s="85"/>
      <c r="D168" s="85"/>
      <c r="E168" s="85"/>
      <c r="F168" s="85"/>
      <c r="G168" s="85"/>
      <c r="H168" s="85"/>
      <c r="I168" s="85"/>
      <c r="J168" s="85"/>
      <c r="K168" s="85"/>
      <c r="L168" s="85"/>
      <c r="M168" s="77"/>
      <c r="N168" s="77"/>
      <c r="O168" s="78"/>
      <c r="P168" s="79"/>
      <c r="Q168" s="79"/>
      <c r="R168" s="82" t="str">
        <f t="shared" si="3"/>
        <v/>
      </c>
    </row>
    <row r="169" spans="1:18" x14ac:dyDescent="0.25">
      <c r="A169" s="83" t="str">
        <f>IFERROR(IF(C169&lt;&gt;"",A168+1,""),MAX($A$10:A168)+1)</f>
        <v/>
      </c>
      <c r="B169" s="86"/>
      <c r="C169" s="85"/>
      <c r="D169" s="85"/>
      <c r="E169" s="85"/>
      <c r="F169" s="85"/>
      <c r="G169" s="85"/>
      <c r="H169" s="85"/>
      <c r="I169" s="85"/>
      <c r="J169" s="85"/>
      <c r="K169" s="85"/>
      <c r="L169" s="85"/>
      <c r="M169" s="77"/>
      <c r="N169" s="77"/>
      <c r="O169" s="78"/>
      <c r="P169" s="79"/>
      <c r="Q169" s="79"/>
      <c r="R169" s="82" t="str">
        <f t="shared" si="3"/>
        <v/>
      </c>
    </row>
    <row r="170" spans="1:18" x14ac:dyDescent="0.25">
      <c r="A170" s="83" t="str">
        <f>IFERROR(IF(C170&lt;&gt;"",A169+1,""),MAX($A$10:A169)+1)</f>
        <v/>
      </c>
      <c r="B170" s="86"/>
      <c r="C170" s="85"/>
      <c r="D170" s="85"/>
      <c r="E170" s="85"/>
      <c r="F170" s="85"/>
      <c r="G170" s="85"/>
      <c r="H170" s="85"/>
      <c r="I170" s="85"/>
      <c r="J170" s="85"/>
      <c r="K170" s="85"/>
      <c r="L170" s="85"/>
      <c r="M170" s="77"/>
      <c r="N170" s="77"/>
      <c r="O170" s="78"/>
      <c r="P170" s="79"/>
      <c r="Q170" s="79"/>
      <c r="R170" s="82" t="str">
        <f t="shared" si="3"/>
        <v/>
      </c>
    </row>
    <row r="171" spans="1:18" x14ac:dyDescent="0.25">
      <c r="A171" s="83" t="str">
        <f>IFERROR(IF(C171&lt;&gt;"",A170+1,""),MAX($A$10:A170)+1)</f>
        <v/>
      </c>
      <c r="B171" s="86"/>
      <c r="C171" s="85"/>
      <c r="D171" s="85"/>
      <c r="E171" s="85"/>
      <c r="F171" s="85"/>
      <c r="G171" s="85"/>
      <c r="H171" s="85"/>
      <c r="I171" s="85"/>
      <c r="J171" s="85"/>
      <c r="K171" s="85"/>
      <c r="L171" s="85"/>
      <c r="M171" s="77"/>
      <c r="N171" s="77"/>
      <c r="O171" s="78"/>
      <c r="P171" s="79"/>
      <c r="Q171" s="79"/>
      <c r="R171" s="82" t="str">
        <f t="shared" si="3"/>
        <v/>
      </c>
    </row>
    <row r="172" spans="1:18" x14ac:dyDescent="0.25">
      <c r="A172" s="83" t="str">
        <f>IFERROR(IF(C172&lt;&gt;"",A171+1,""),MAX($A$10:A171)+1)</f>
        <v/>
      </c>
      <c r="B172" s="86"/>
      <c r="C172" s="85"/>
      <c r="D172" s="85"/>
      <c r="E172" s="85"/>
      <c r="F172" s="85"/>
      <c r="G172" s="85"/>
      <c r="H172" s="85"/>
      <c r="I172" s="85"/>
      <c r="J172" s="85"/>
      <c r="K172" s="85"/>
      <c r="L172" s="85"/>
      <c r="M172" s="77"/>
      <c r="N172" s="77"/>
      <c r="O172" s="78"/>
      <c r="P172" s="79"/>
      <c r="Q172" s="79"/>
      <c r="R172" s="82" t="str">
        <f t="shared" si="3"/>
        <v/>
      </c>
    </row>
    <row r="173" spans="1:18" x14ac:dyDescent="0.25">
      <c r="A173" s="83" t="str">
        <f>IFERROR(IF(C173&lt;&gt;"",A172+1,""),MAX($A$10:A172)+1)</f>
        <v/>
      </c>
      <c r="B173" s="86"/>
      <c r="C173" s="85"/>
      <c r="D173" s="85"/>
      <c r="E173" s="85"/>
      <c r="F173" s="85"/>
      <c r="G173" s="85"/>
      <c r="H173" s="85"/>
      <c r="I173" s="85"/>
      <c r="J173" s="85"/>
      <c r="K173" s="85"/>
      <c r="L173" s="85"/>
      <c r="M173" s="77"/>
      <c r="N173" s="77"/>
      <c r="O173" s="78"/>
      <c r="P173" s="79"/>
      <c r="Q173" s="79"/>
      <c r="R173" s="82" t="str">
        <f t="shared" si="3"/>
        <v/>
      </c>
    </row>
    <row r="174" spans="1:18" x14ac:dyDescent="0.25">
      <c r="A174" s="83" t="str">
        <f>IFERROR(IF(C174&lt;&gt;"",A173+1,""),MAX($A$10:A173)+1)</f>
        <v/>
      </c>
      <c r="B174" s="86"/>
      <c r="C174" s="85"/>
      <c r="D174" s="85"/>
      <c r="E174" s="85"/>
      <c r="F174" s="85"/>
      <c r="G174" s="85"/>
      <c r="H174" s="85"/>
      <c r="I174" s="85"/>
      <c r="J174" s="85"/>
      <c r="K174" s="85"/>
      <c r="L174" s="85"/>
      <c r="M174" s="77"/>
      <c r="N174" s="77"/>
      <c r="O174" s="78"/>
      <c r="P174" s="79"/>
      <c r="Q174" s="79"/>
      <c r="R174" s="82" t="str">
        <f t="shared" si="3"/>
        <v/>
      </c>
    </row>
    <row r="175" spans="1:18" x14ac:dyDescent="0.25">
      <c r="A175" s="83" t="str">
        <f>IFERROR(IF(C175&lt;&gt;"",A174+1,""),MAX($A$10:A174)+1)</f>
        <v/>
      </c>
      <c r="B175" s="86"/>
      <c r="C175" s="85"/>
      <c r="D175" s="85"/>
      <c r="E175" s="85"/>
      <c r="F175" s="85"/>
      <c r="G175" s="85"/>
      <c r="H175" s="85"/>
      <c r="I175" s="85"/>
      <c r="J175" s="85"/>
      <c r="K175" s="85"/>
      <c r="L175" s="85"/>
      <c r="M175" s="77"/>
      <c r="N175" s="77"/>
      <c r="O175" s="78"/>
      <c r="P175" s="79"/>
      <c r="Q175" s="79"/>
      <c r="R175" s="82" t="str">
        <f t="shared" si="3"/>
        <v/>
      </c>
    </row>
    <row r="176" spans="1:18" x14ac:dyDescent="0.25">
      <c r="A176" s="83" t="str">
        <f>IFERROR(IF(C176&lt;&gt;"",A175+1,""),MAX($A$10:A175)+1)</f>
        <v/>
      </c>
      <c r="B176" s="86"/>
      <c r="C176" s="85"/>
      <c r="D176" s="85"/>
      <c r="E176" s="85"/>
      <c r="F176" s="85"/>
      <c r="G176" s="85"/>
      <c r="H176" s="85"/>
      <c r="I176" s="85"/>
      <c r="J176" s="85"/>
      <c r="K176" s="85"/>
      <c r="L176" s="85"/>
      <c r="M176" s="77"/>
      <c r="N176" s="77"/>
      <c r="O176" s="78"/>
      <c r="P176" s="79"/>
      <c r="Q176" s="79"/>
      <c r="R176" s="82" t="str">
        <f t="shared" si="3"/>
        <v/>
      </c>
    </row>
    <row r="177" spans="1:18" x14ac:dyDescent="0.25">
      <c r="A177" s="83" t="str">
        <f>IFERROR(IF(C177&lt;&gt;"",A176+1,""),MAX($A$10:A176)+1)</f>
        <v/>
      </c>
      <c r="B177" s="86"/>
      <c r="C177" s="85"/>
      <c r="D177" s="85"/>
      <c r="E177" s="85"/>
      <c r="F177" s="85"/>
      <c r="G177" s="85"/>
      <c r="H177" s="85"/>
      <c r="I177" s="85"/>
      <c r="J177" s="85"/>
      <c r="K177" s="85"/>
      <c r="L177" s="85"/>
      <c r="M177" s="77"/>
      <c r="N177" s="77"/>
      <c r="O177" s="78"/>
      <c r="P177" s="79"/>
      <c r="Q177" s="79"/>
      <c r="R177" s="82" t="str">
        <f t="shared" si="3"/>
        <v/>
      </c>
    </row>
    <row r="178" spans="1:18" x14ac:dyDescent="0.25">
      <c r="A178" s="83" t="str">
        <f>IFERROR(IF(C178&lt;&gt;"",A177+1,""),MAX($A$10:A177)+1)</f>
        <v/>
      </c>
      <c r="B178" s="86"/>
      <c r="C178" s="85"/>
      <c r="D178" s="85"/>
      <c r="E178" s="85"/>
      <c r="F178" s="85"/>
      <c r="G178" s="85"/>
      <c r="H178" s="85"/>
      <c r="I178" s="85"/>
      <c r="J178" s="85"/>
      <c r="K178" s="85"/>
      <c r="L178" s="85"/>
      <c r="M178" s="77"/>
      <c r="N178" s="77"/>
      <c r="O178" s="78"/>
      <c r="P178" s="79"/>
      <c r="Q178" s="79"/>
      <c r="R178" s="82" t="str">
        <f t="shared" si="3"/>
        <v/>
      </c>
    </row>
    <row r="179" spans="1:18" x14ac:dyDescent="0.25">
      <c r="A179" s="83" t="str">
        <f>IFERROR(IF(C179&lt;&gt;"",A178+1,""),MAX($A$10:A178)+1)</f>
        <v/>
      </c>
      <c r="B179" s="86"/>
      <c r="C179" s="85"/>
      <c r="D179" s="85"/>
      <c r="E179" s="85"/>
      <c r="F179" s="85"/>
      <c r="G179" s="85"/>
      <c r="H179" s="85"/>
      <c r="I179" s="85"/>
      <c r="J179" s="85"/>
      <c r="K179" s="85"/>
      <c r="L179" s="85"/>
      <c r="M179" s="77"/>
      <c r="N179" s="77"/>
      <c r="O179" s="78"/>
      <c r="P179" s="79"/>
      <c r="Q179" s="79"/>
      <c r="R179" s="82" t="str">
        <f t="shared" si="3"/>
        <v/>
      </c>
    </row>
    <row r="180" spans="1:18" x14ac:dyDescent="0.25">
      <c r="A180" s="83" t="str">
        <f>IFERROR(IF(C180&lt;&gt;"",A179+1,""),MAX($A$10:A179)+1)</f>
        <v/>
      </c>
      <c r="B180" s="86"/>
      <c r="C180" s="85"/>
      <c r="D180" s="85"/>
      <c r="E180" s="85"/>
      <c r="F180" s="85"/>
      <c r="G180" s="85"/>
      <c r="H180" s="85"/>
      <c r="I180" s="85"/>
      <c r="J180" s="85"/>
      <c r="K180" s="85"/>
      <c r="L180" s="85"/>
      <c r="M180" s="77"/>
      <c r="N180" s="77"/>
      <c r="O180" s="78"/>
      <c r="P180" s="79"/>
      <c r="Q180" s="79"/>
      <c r="R180" s="82" t="str">
        <f t="shared" si="3"/>
        <v/>
      </c>
    </row>
    <row r="181" spans="1:18" x14ac:dyDescent="0.25">
      <c r="A181" s="83" t="str">
        <f>IFERROR(IF(C181&lt;&gt;"",A180+1,""),MAX($A$10:A180)+1)</f>
        <v/>
      </c>
      <c r="B181" s="86"/>
      <c r="C181" s="85"/>
      <c r="D181" s="85"/>
      <c r="E181" s="85"/>
      <c r="F181" s="85"/>
      <c r="G181" s="85"/>
      <c r="H181" s="85"/>
      <c r="I181" s="85"/>
      <c r="J181" s="85"/>
      <c r="K181" s="85"/>
      <c r="L181" s="85"/>
      <c r="M181" s="77"/>
      <c r="N181" s="77"/>
      <c r="O181" s="78"/>
      <c r="P181" s="79"/>
      <c r="Q181" s="79"/>
      <c r="R181" s="82" t="str">
        <f t="shared" si="3"/>
        <v/>
      </c>
    </row>
    <row r="182" spans="1:18" x14ac:dyDescent="0.25">
      <c r="A182" s="83" t="str">
        <f>IFERROR(IF(C182&lt;&gt;"",A181+1,""),MAX($A$10:A181)+1)</f>
        <v/>
      </c>
      <c r="B182" s="86"/>
      <c r="C182" s="85"/>
      <c r="D182" s="85"/>
      <c r="E182" s="85"/>
      <c r="F182" s="85"/>
      <c r="G182" s="85"/>
      <c r="H182" s="85"/>
      <c r="I182" s="85"/>
      <c r="J182" s="85"/>
      <c r="K182" s="85"/>
      <c r="L182" s="85"/>
      <c r="M182" s="77"/>
      <c r="N182" s="77"/>
      <c r="O182" s="78"/>
      <c r="P182" s="79"/>
      <c r="Q182" s="79"/>
      <c r="R182" s="82" t="str">
        <f t="shared" si="3"/>
        <v/>
      </c>
    </row>
    <row r="183" spans="1:18" x14ac:dyDescent="0.25">
      <c r="A183" s="83" t="str">
        <f>IFERROR(IF(C183&lt;&gt;"",A182+1,""),MAX($A$10:A182)+1)</f>
        <v/>
      </c>
      <c r="B183" s="86"/>
      <c r="C183" s="85"/>
      <c r="D183" s="85"/>
      <c r="E183" s="85"/>
      <c r="F183" s="85"/>
      <c r="G183" s="85"/>
      <c r="H183" s="85"/>
      <c r="I183" s="85"/>
      <c r="J183" s="85"/>
      <c r="K183" s="85"/>
      <c r="L183" s="85"/>
      <c r="M183" s="77"/>
      <c r="N183" s="77"/>
      <c r="O183" s="78"/>
      <c r="P183" s="79"/>
      <c r="Q183" s="79"/>
      <c r="R183" s="82" t="str">
        <f t="shared" si="3"/>
        <v/>
      </c>
    </row>
    <row r="184" spans="1:18" x14ac:dyDescent="0.25">
      <c r="A184" s="83" t="str">
        <f>IFERROR(IF(C184&lt;&gt;"",A183+1,""),MAX($A$10:A183)+1)</f>
        <v/>
      </c>
      <c r="B184" s="86"/>
      <c r="C184" s="85"/>
      <c r="D184" s="85"/>
      <c r="E184" s="85"/>
      <c r="F184" s="85"/>
      <c r="G184" s="85"/>
      <c r="H184" s="85"/>
      <c r="I184" s="85"/>
      <c r="J184" s="85"/>
      <c r="K184" s="85"/>
      <c r="L184" s="85"/>
      <c r="M184" s="77"/>
      <c r="N184" s="77"/>
      <c r="O184" s="78"/>
      <c r="P184" s="79"/>
      <c r="Q184" s="79"/>
      <c r="R184" s="82" t="str">
        <f t="shared" si="3"/>
        <v/>
      </c>
    </row>
    <row r="185" spans="1:18" x14ac:dyDescent="0.25">
      <c r="A185" s="83" t="str">
        <f>IFERROR(IF(C185&lt;&gt;"",A184+1,""),MAX($A$10:A184)+1)</f>
        <v/>
      </c>
      <c r="B185" s="86"/>
      <c r="C185" s="85"/>
      <c r="D185" s="85"/>
      <c r="E185" s="85"/>
      <c r="F185" s="85"/>
      <c r="G185" s="85"/>
      <c r="H185" s="85"/>
      <c r="I185" s="85"/>
      <c r="J185" s="85"/>
      <c r="K185" s="85"/>
      <c r="L185" s="85"/>
      <c r="M185" s="77"/>
      <c r="N185" s="77"/>
      <c r="O185" s="78"/>
      <c r="P185" s="79"/>
      <c r="Q185" s="79"/>
      <c r="R185" s="82" t="str">
        <f t="shared" si="3"/>
        <v/>
      </c>
    </row>
    <row r="186" spans="1:18" x14ac:dyDescent="0.25">
      <c r="A186" s="83" t="str">
        <f>IFERROR(IF(C186&lt;&gt;"",A185+1,""),MAX($A$10:A185)+1)</f>
        <v/>
      </c>
      <c r="B186" s="86"/>
      <c r="C186" s="85"/>
      <c r="D186" s="85"/>
      <c r="E186" s="85"/>
      <c r="F186" s="85"/>
      <c r="G186" s="85"/>
      <c r="H186" s="85"/>
      <c r="I186" s="85"/>
      <c r="J186" s="85"/>
      <c r="K186" s="85"/>
      <c r="L186" s="85"/>
      <c r="M186" s="77"/>
      <c r="N186" s="77"/>
      <c r="O186" s="78"/>
      <c r="P186" s="79"/>
      <c r="Q186" s="79"/>
      <c r="R186" s="82" t="str">
        <f t="shared" si="3"/>
        <v/>
      </c>
    </row>
    <row r="187" spans="1:18" x14ac:dyDescent="0.25">
      <c r="A187" s="83" t="str">
        <f>IFERROR(IF(C187&lt;&gt;"",A186+1,""),MAX($A$10:A186)+1)</f>
        <v/>
      </c>
      <c r="B187" s="86"/>
      <c r="C187" s="85"/>
      <c r="D187" s="85"/>
      <c r="E187" s="85"/>
      <c r="F187" s="85"/>
      <c r="G187" s="85"/>
      <c r="H187" s="85"/>
      <c r="I187" s="85"/>
      <c r="J187" s="85"/>
      <c r="K187" s="85"/>
      <c r="L187" s="85"/>
      <c r="M187" s="77"/>
      <c r="N187" s="77"/>
      <c r="O187" s="78"/>
      <c r="P187" s="79"/>
      <c r="Q187" s="79"/>
      <c r="R187" s="82" t="str">
        <f t="shared" si="3"/>
        <v/>
      </c>
    </row>
    <row r="188" spans="1:18" x14ac:dyDescent="0.25">
      <c r="A188" s="83" t="str">
        <f>IFERROR(IF(C188&lt;&gt;"",A187+1,""),MAX($A$10:A187)+1)</f>
        <v/>
      </c>
      <c r="B188" s="86"/>
      <c r="C188" s="85"/>
      <c r="D188" s="85"/>
      <c r="E188" s="85"/>
      <c r="F188" s="85"/>
      <c r="G188" s="85"/>
      <c r="H188" s="85"/>
      <c r="I188" s="85"/>
      <c r="J188" s="85"/>
      <c r="K188" s="85"/>
      <c r="L188" s="85"/>
      <c r="M188" s="77"/>
      <c r="N188" s="77"/>
      <c r="O188" s="78"/>
      <c r="P188" s="79"/>
      <c r="Q188" s="79"/>
      <c r="R188" s="82" t="str">
        <f t="shared" si="3"/>
        <v/>
      </c>
    </row>
    <row r="189" spans="1:18" x14ac:dyDescent="0.25">
      <c r="A189" s="83" t="str">
        <f>IFERROR(IF(C189&lt;&gt;"",A188+1,""),MAX($A$10:A188)+1)</f>
        <v/>
      </c>
      <c r="B189" s="86"/>
      <c r="C189" s="85"/>
      <c r="D189" s="85"/>
      <c r="E189" s="85"/>
      <c r="F189" s="85"/>
      <c r="G189" s="85"/>
      <c r="H189" s="85"/>
      <c r="I189" s="85"/>
      <c r="J189" s="85"/>
      <c r="K189" s="85"/>
      <c r="L189" s="85"/>
      <c r="M189" s="77"/>
      <c r="N189" s="77"/>
      <c r="O189" s="78"/>
      <c r="P189" s="79"/>
      <c r="Q189" s="79"/>
      <c r="R189" s="82" t="str">
        <f t="shared" si="3"/>
        <v/>
      </c>
    </row>
    <row r="190" spans="1:18" x14ac:dyDescent="0.25">
      <c r="A190" s="83" t="str">
        <f>IFERROR(IF(C190&lt;&gt;"",A189+1,""),MAX($A$10:A189)+1)</f>
        <v/>
      </c>
      <c r="B190" s="86"/>
      <c r="C190" s="85"/>
      <c r="D190" s="85"/>
      <c r="E190" s="85"/>
      <c r="F190" s="85"/>
      <c r="G190" s="85"/>
      <c r="H190" s="85"/>
      <c r="I190" s="85"/>
      <c r="J190" s="85"/>
      <c r="K190" s="85"/>
      <c r="L190" s="85"/>
      <c r="M190" s="77"/>
      <c r="N190" s="77"/>
      <c r="O190" s="78"/>
      <c r="P190" s="79"/>
      <c r="Q190" s="79"/>
      <c r="R190" s="82" t="str">
        <f t="shared" si="3"/>
        <v/>
      </c>
    </row>
    <row r="191" spans="1:18" x14ac:dyDescent="0.25">
      <c r="A191" s="83" t="str">
        <f>IFERROR(IF(C191&lt;&gt;"",A190+1,""),MAX($A$10:A190)+1)</f>
        <v/>
      </c>
      <c r="B191" s="86"/>
      <c r="C191" s="85"/>
      <c r="D191" s="85"/>
      <c r="E191" s="85"/>
      <c r="F191" s="85"/>
      <c r="G191" s="85"/>
      <c r="H191" s="85"/>
      <c r="I191" s="85"/>
      <c r="J191" s="85"/>
      <c r="K191" s="85"/>
      <c r="L191" s="85"/>
      <c r="M191" s="77"/>
      <c r="N191" s="77"/>
      <c r="O191" s="78"/>
      <c r="P191" s="79"/>
      <c r="Q191" s="79"/>
      <c r="R191" s="82" t="str">
        <f t="shared" si="3"/>
        <v/>
      </c>
    </row>
    <row r="192" spans="1:18" x14ac:dyDescent="0.25">
      <c r="A192" s="83" t="str">
        <f>IFERROR(IF(C192&lt;&gt;"",A191+1,""),MAX($A$10:A191)+1)</f>
        <v/>
      </c>
      <c r="B192" s="86"/>
      <c r="C192" s="85"/>
      <c r="D192" s="85"/>
      <c r="E192" s="85"/>
      <c r="F192" s="85"/>
      <c r="G192" s="85"/>
      <c r="H192" s="85"/>
      <c r="I192" s="85"/>
      <c r="J192" s="85"/>
      <c r="K192" s="85"/>
      <c r="L192" s="85"/>
      <c r="M192" s="77"/>
      <c r="N192" s="77"/>
      <c r="O192" s="78"/>
      <c r="P192" s="79"/>
      <c r="Q192" s="79"/>
      <c r="R192" s="82" t="str">
        <f t="shared" si="3"/>
        <v/>
      </c>
    </row>
    <row r="193" spans="1:18" x14ac:dyDescent="0.25">
      <c r="A193" s="83" t="str">
        <f>IFERROR(IF(C193&lt;&gt;"",A192+1,""),MAX($A$10:A192)+1)</f>
        <v/>
      </c>
      <c r="B193" s="86"/>
      <c r="C193" s="85"/>
      <c r="D193" s="85"/>
      <c r="E193" s="85"/>
      <c r="F193" s="85"/>
      <c r="G193" s="85"/>
      <c r="H193" s="85"/>
      <c r="I193" s="85"/>
      <c r="J193" s="85"/>
      <c r="K193" s="85"/>
      <c r="L193" s="85"/>
      <c r="M193" s="77"/>
      <c r="N193" s="77"/>
      <c r="O193" s="78"/>
      <c r="P193" s="79"/>
      <c r="Q193" s="79"/>
      <c r="R193" s="82" t="str">
        <f t="shared" si="3"/>
        <v/>
      </c>
    </row>
    <row r="194" spans="1:18" x14ac:dyDescent="0.25">
      <c r="A194" s="83" t="str">
        <f>IFERROR(IF(C194&lt;&gt;"",A193+1,""),MAX($A$10:A193)+1)</f>
        <v/>
      </c>
      <c r="B194" s="86"/>
      <c r="C194" s="85"/>
      <c r="D194" s="85"/>
      <c r="E194" s="85"/>
      <c r="F194" s="85"/>
      <c r="G194" s="85"/>
      <c r="H194" s="85"/>
      <c r="I194" s="85"/>
      <c r="J194" s="85"/>
      <c r="K194" s="85"/>
      <c r="L194" s="85"/>
      <c r="M194" s="77"/>
      <c r="N194" s="77"/>
      <c r="O194" s="78"/>
      <c r="P194" s="79"/>
      <c r="Q194" s="79"/>
      <c r="R194" s="82" t="str">
        <f t="shared" si="3"/>
        <v/>
      </c>
    </row>
    <row r="195" spans="1:18" x14ac:dyDescent="0.25">
      <c r="A195" s="83" t="str">
        <f>IFERROR(IF(C195&lt;&gt;"",A194+1,""),MAX($A$10:A194)+1)</f>
        <v/>
      </c>
      <c r="B195" s="86"/>
      <c r="C195" s="85"/>
      <c r="D195" s="85"/>
      <c r="E195" s="85"/>
      <c r="F195" s="85"/>
      <c r="G195" s="85"/>
      <c r="H195" s="85"/>
      <c r="I195" s="85"/>
      <c r="J195" s="85"/>
      <c r="K195" s="85"/>
      <c r="L195" s="85"/>
      <c r="M195" s="77"/>
      <c r="N195" s="77"/>
      <c r="O195" s="78"/>
      <c r="P195" s="79"/>
      <c r="Q195" s="79"/>
      <c r="R195" s="82" t="str">
        <f t="shared" si="3"/>
        <v/>
      </c>
    </row>
    <row r="196" spans="1:18" x14ac:dyDescent="0.25">
      <c r="A196" s="83" t="str">
        <f>IFERROR(IF(C196&lt;&gt;"",A195+1,""),MAX($A$10:A195)+1)</f>
        <v/>
      </c>
      <c r="B196" s="86"/>
      <c r="C196" s="85"/>
      <c r="D196" s="85"/>
      <c r="E196" s="85"/>
      <c r="F196" s="85"/>
      <c r="G196" s="85"/>
      <c r="H196" s="85"/>
      <c r="I196" s="85"/>
      <c r="J196" s="85"/>
      <c r="K196" s="85"/>
      <c r="L196" s="85"/>
      <c r="M196" s="77"/>
      <c r="N196" s="77"/>
      <c r="O196" s="78"/>
      <c r="P196" s="79"/>
      <c r="Q196" s="79"/>
      <c r="R196" s="82" t="str">
        <f t="shared" si="3"/>
        <v/>
      </c>
    </row>
    <row r="197" spans="1:18" x14ac:dyDescent="0.25">
      <c r="A197" s="83" t="str">
        <f>IFERROR(IF(C197&lt;&gt;"",A196+1,""),MAX($A$10:A196)+1)</f>
        <v/>
      </c>
      <c r="B197" s="86"/>
      <c r="C197" s="85"/>
      <c r="D197" s="85"/>
      <c r="E197" s="85"/>
      <c r="F197" s="85"/>
      <c r="G197" s="85"/>
      <c r="H197" s="85"/>
      <c r="I197" s="85"/>
      <c r="J197" s="85"/>
      <c r="K197" s="85"/>
      <c r="L197" s="85"/>
      <c r="M197" s="77"/>
      <c r="N197" s="77"/>
      <c r="O197" s="78"/>
      <c r="P197" s="79"/>
      <c r="Q197" s="79"/>
      <c r="R197" s="82" t="str">
        <f t="shared" si="3"/>
        <v/>
      </c>
    </row>
    <row r="198" spans="1:18" x14ac:dyDescent="0.25">
      <c r="A198" s="83" t="str">
        <f>IFERROR(IF(C198&lt;&gt;"",A197+1,""),MAX($A$10:A197)+1)</f>
        <v/>
      </c>
      <c r="B198" s="86"/>
      <c r="C198" s="85"/>
      <c r="D198" s="85"/>
      <c r="E198" s="85"/>
      <c r="F198" s="85"/>
      <c r="G198" s="85"/>
      <c r="H198" s="85"/>
      <c r="I198" s="85"/>
      <c r="J198" s="85"/>
      <c r="K198" s="85"/>
      <c r="L198" s="85"/>
      <c r="M198" s="77"/>
      <c r="N198" s="77"/>
      <c r="O198" s="78"/>
      <c r="P198" s="79"/>
      <c r="Q198" s="79"/>
      <c r="R198" s="82" t="str">
        <f t="shared" si="3"/>
        <v/>
      </c>
    </row>
    <row r="199" spans="1:18" x14ac:dyDescent="0.25">
      <c r="A199" s="83" t="str">
        <f>IFERROR(IF(C199&lt;&gt;"",A198+1,""),MAX($A$10:A198)+1)</f>
        <v/>
      </c>
      <c r="B199" s="86"/>
      <c r="C199" s="85"/>
      <c r="D199" s="85"/>
      <c r="E199" s="85"/>
      <c r="F199" s="85"/>
      <c r="G199" s="85"/>
      <c r="H199" s="85"/>
      <c r="I199" s="85"/>
      <c r="J199" s="85"/>
      <c r="K199" s="85"/>
      <c r="L199" s="85"/>
      <c r="M199" s="77"/>
      <c r="N199" s="77"/>
      <c r="O199" s="78"/>
      <c r="P199" s="79"/>
      <c r="Q199" s="79"/>
      <c r="R199" s="82" t="str">
        <f t="shared" si="3"/>
        <v/>
      </c>
    </row>
    <row r="200" spans="1:18" x14ac:dyDescent="0.25">
      <c r="A200" s="83" t="str">
        <f>IFERROR(IF(C200&lt;&gt;"",A199+1,""),MAX($A$10:A199)+1)</f>
        <v/>
      </c>
      <c r="B200" s="86"/>
      <c r="C200" s="85"/>
      <c r="D200" s="85"/>
      <c r="E200" s="85"/>
      <c r="F200" s="85"/>
      <c r="G200" s="85"/>
      <c r="H200" s="85"/>
      <c r="I200" s="85"/>
      <c r="J200" s="85"/>
      <c r="K200" s="85"/>
      <c r="L200" s="85"/>
      <c r="M200" s="77"/>
      <c r="N200" s="77"/>
      <c r="O200" s="78"/>
      <c r="P200" s="79"/>
      <c r="Q200" s="79"/>
      <c r="R200" s="82" t="str">
        <f t="shared" si="3"/>
        <v/>
      </c>
    </row>
    <row r="201" spans="1:18" x14ac:dyDescent="0.25">
      <c r="A201" s="83" t="str">
        <f>IFERROR(IF(C201&lt;&gt;"",A200+1,""),MAX($A$10:A200)+1)</f>
        <v/>
      </c>
      <c r="B201" s="86"/>
      <c r="C201" s="85"/>
      <c r="D201" s="85"/>
      <c r="E201" s="85"/>
      <c r="F201" s="85"/>
      <c r="G201" s="85"/>
      <c r="H201" s="85"/>
      <c r="I201" s="85"/>
      <c r="J201" s="85"/>
      <c r="K201" s="85"/>
      <c r="L201" s="85"/>
      <c r="M201" s="77"/>
      <c r="N201" s="77"/>
      <c r="O201" s="78"/>
      <c r="P201" s="79"/>
      <c r="Q201" s="79"/>
      <c r="R201" s="82" t="str">
        <f t="shared" si="3"/>
        <v/>
      </c>
    </row>
    <row r="202" spans="1:18" x14ac:dyDescent="0.25">
      <c r="A202" s="83" t="str">
        <f>IFERROR(IF(C202&lt;&gt;"",A201+1,""),MAX($A$10:A201)+1)</f>
        <v/>
      </c>
      <c r="B202" s="86"/>
      <c r="C202" s="85"/>
      <c r="D202" s="85"/>
      <c r="E202" s="85"/>
      <c r="F202" s="85"/>
      <c r="G202" s="85"/>
      <c r="H202" s="85"/>
      <c r="I202" s="85"/>
      <c r="J202" s="85"/>
      <c r="K202" s="85"/>
      <c r="L202" s="85"/>
      <c r="M202" s="77"/>
      <c r="N202" s="77"/>
      <c r="O202" s="78"/>
      <c r="P202" s="79"/>
      <c r="Q202" s="79"/>
      <c r="R202" s="82" t="str">
        <f t="shared" si="3"/>
        <v/>
      </c>
    </row>
    <row r="203" spans="1:18" x14ac:dyDescent="0.25">
      <c r="A203" s="83" t="str">
        <f>IFERROR(IF(C203&lt;&gt;"",A202+1,""),MAX($A$10:A202)+1)</f>
        <v/>
      </c>
      <c r="B203" s="86"/>
      <c r="C203" s="85"/>
      <c r="D203" s="85"/>
      <c r="E203" s="85"/>
      <c r="F203" s="85"/>
      <c r="G203" s="85"/>
      <c r="H203" s="85"/>
      <c r="I203" s="85"/>
      <c r="J203" s="85"/>
      <c r="K203" s="85"/>
      <c r="L203" s="85"/>
      <c r="M203" s="77"/>
      <c r="N203" s="77"/>
      <c r="O203" s="78"/>
      <c r="P203" s="79"/>
      <c r="Q203" s="79"/>
      <c r="R203" s="82" t="str">
        <f t="shared" ref="R203:R245" si="4">IFERROR(IF((Q203-P203)=0,"",HOUR(Q203-P203)+MINUTE(Q203-P203)/60),"")</f>
        <v/>
      </c>
    </row>
    <row r="204" spans="1:18" x14ac:dyDescent="0.25">
      <c r="A204" s="83" t="str">
        <f>IFERROR(IF(C204&lt;&gt;"",A203+1,""),MAX($A$10:A203)+1)</f>
        <v/>
      </c>
      <c r="B204" s="86"/>
      <c r="C204" s="85"/>
      <c r="D204" s="85"/>
      <c r="E204" s="85"/>
      <c r="F204" s="85"/>
      <c r="G204" s="85"/>
      <c r="H204" s="85"/>
      <c r="I204" s="85"/>
      <c r="J204" s="85"/>
      <c r="K204" s="85"/>
      <c r="L204" s="85"/>
      <c r="M204" s="77"/>
      <c r="N204" s="77"/>
      <c r="O204" s="78"/>
      <c r="P204" s="79"/>
      <c r="Q204" s="79"/>
      <c r="R204" s="82" t="str">
        <f t="shared" si="4"/>
        <v/>
      </c>
    </row>
    <row r="205" spans="1:18" x14ac:dyDescent="0.25">
      <c r="A205" s="83" t="str">
        <f>IFERROR(IF(C205&lt;&gt;"",A204+1,""),MAX($A$10:A204)+1)</f>
        <v/>
      </c>
      <c r="B205" s="86"/>
      <c r="C205" s="85"/>
      <c r="D205" s="85"/>
      <c r="E205" s="85"/>
      <c r="F205" s="85"/>
      <c r="G205" s="85"/>
      <c r="H205" s="85"/>
      <c r="I205" s="85"/>
      <c r="J205" s="85"/>
      <c r="K205" s="85"/>
      <c r="L205" s="85"/>
      <c r="M205" s="77"/>
      <c r="N205" s="77"/>
      <c r="O205" s="78"/>
      <c r="P205" s="79"/>
      <c r="Q205" s="79"/>
      <c r="R205" s="82" t="str">
        <f t="shared" si="4"/>
        <v/>
      </c>
    </row>
    <row r="206" spans="1:18" x14ac:dyDescent="0.25">
      <c r="A206" s="83" t="str">
        <f>IFERROR(IF(C206&lt;&gt;"",A205+1,""),MAX($A$10:A205)+1)</f>
        <v/>
      </c>
      <c r="B206" s="86"/>
      <c r="C206" s="85"/>
      <c r="D206" s="85"/>
      <c r="E206" s="85"/>
      <c r="F206" s="85"/>
      <c r="G206" s="85"/>
      <c r="H206" s="85"/>
      <c r="I206" s="85"/>
      <c r="J206" s="85"/>
      <c r="K206" s="85"/>
      <c r="L206" s="85"/>
      <c r="M206" s="77"/>
      <c r="N206" s="77"/>
      <c r="O206" s="78"/>
      <c r="P206" s="79"/>
      <c r="Q206" s="79"/>
      <c r="R206" s="82" t="str">
        <f t="shared" si="4"/>
        <v/>
      </c>
    </row>
    <row r="207" spans="1:18" x14ac:dyDescent="0.25">
      <c r="A207" s="83" t="str">
        <f>IFERROR(IF(C207&lt;&gt;"",A206+1,""),MAX($A$10:A206)+1)</f>
        <v/>
      </c>
      <c r="B207" s="86"/>
      <c r="C207" s="85"/>
      <c r="D207" s="85"/>
      <c r="E207" s="85"/>
      <c r="F207" s="85"/>
      <c r="G207" s="85"/>
      <c r="H207" s="85"/>
      <c r="I207" s="85"/>
      <c r="J207" s="85"/>
      <c r="K207" s="85"/>
      <c r="L207" s="85"/>
      <c r="M207" s="77"/>
      <c r="N207" s="77"/>
      <c r="O207" s="78"/>
      <c r="P207" s="79"/>
      <c r="Q207" s="79"/>
      <c r="R207" s="82" t="str">
        <f t="shared" si="4"/>
        <v/>
      </c>
    </row>
    <row r="208" spans="1:18" x14ac:dyDescent="0.25">
      <c r="A208" s="83" t="str">
        <f>IFERROR(IF(C208&lt;&gt;"",A207+1,""),MAX($A$10:A207)+1)</f>
        <v/>
      </c>
      <c r="B208" s="86"/>
      <c r="C208" s="85"/>
      <c r="D208" s="85"/>
      <c r="E208" s="85"/>
      <c r="F208" s="85"/>
      <c r="G208" s="85"/>
      <c r="H208" s="85"/>
      <c r="I208" s="85"/>
      <c r="J208" s="85"/>
      <c r="K208" s="85"/>
      <c r="L208" s="85"/>
      <c r="M208" s="77"/>
      <c r="N208" s="77"/>
      <c r="O208" s="78"/>
      <c r="P208" s="79"/>
      <c r="Q208" s="79"/>
      <c r="R208" s="82" t="str">
        <f t="shared" si="4"/>
        <v/>
      </c>
    </row>
    <row r="209" spans="1:18" x14ac:dyDescent="0.25">
      <c r="A209" s="83" t="str">
        <f>IFERROR(IF(C209&lt;&gt;"",A208+1,""),MAX($A$10:A208)+1)</f>
        <v/>
      </c>
      <c r="B209" s="86"/>
      <c r="C209" s="85"/>
      <c r="D209" s="85"/>
      <c r="E209" s="85"/>
      <c r="F209" s="85"/>
      <c r="G209" s="85"/>
      <c r="H209" s="85"/>
      <c r="I209" s="85"/>
      <c r="J209" s="85"/>
      <c r="K209" s="85"/>
      <c r="L209" s="85"/>
      <c r="M209" s="77"/>
      <c r="N209" s="77"/>
      <c r="O209" s="78"/>
      <c r="P209" s="79"/>
      <c r="Q209" s="79"/>
      <c r="R209" s="82" t="str">
        <f t="shared" si="4"/>
        <v/>
      </c>
    </row>
    <row r="210" spans="1:18" x14ac:dyDescent="0.25">
      <c r="A210" s="83" t="str">
        <f>IFERROR(IF(C210&lt;&gt;"",A209+1,""),MAX($A$10:A209)+1)</f>
        <v/>
      </c>
      <c r="B210" s="86"/>
      <c r="C210" s="85"/>
      <c r="D210" s="85"/>
      <c r="E210" s="85"/>
      <c r="F210" s="85"/>
      <c r="G210" s="85"/>
      <c r="H210" s="85"/>
      <c r="I210" s="85"/>
      <c r="J210" s="85"/>
      <c r="K210" s="85"/>
      <c r="L210" s="85"/>
      <c r="M210" s="77"/>
      <c r="N210" s="77"/>
      <c r="O210" s="78"/>
      <c r="P210" s="79"/>
      <c r="Q210" s="79"/>
      <c r="R210" s="82" t="str">
        <f t="shared" si="4"/>
        <v/>
      </c>
    </row>
    <row r="211" spans="1:18" x14ac:dyDescent="0.25">
      <c r="A211" s="83" t="str">
        <f>IFERROR(IF(C211&lt;&gt;"",A210+1,""),MAX($A$10:A210)+1)</f>
        <v/>
      </c>
      <c r="B211" s="86"/>
      <c r="C211" s="85"/>
      <c r="D211" s="85"/>
      <c r="E211" s="85"/>
      <c r="F211" s="85"/>
      <c r="G211" s="85"/>
      <c r="H211" s="85"/>
      <c r="I211" s="85"/>
      <c r="J211" s="85"/>
      <c r="K211" s="85"/>
      <c r="L211" s="85"/>
      <c r="M211" s="77"/>
      <c r="N211" s="77"/>
      <c r="O211" s="78"/>
      <c r="P211" s="79"/>
      <c r="Q211" s="79"/>
      <c r="R211" s="82" t="str">
        <f t="shared" si="4"/>
        <v/>
      </c>
    </row>
    <row r="212" spans="1:18" x14ac:dyDescent="0.25">
      <c r="A212" s="83" t="str">
        <f>IFERROR(IF(C212&lt;&gt;"",A211+1,""),MAX($A$10:A211)+1)</f>
        <v/>
      </c>
      <c r="B212" s="86"/>
      <c r="C212" s="85"/>
      <c r="D212" s="85"/>
      <c r="E212" s="85"/>
      <c r="F212" s="85"/>
      <c r="G212" s="85"/>
      <c r="H212" s="85"/>
      <c r="I212" s="85"/>
      <c r="J212" s="85"/>
      <c r="K212" s="85"/>
      <c r="L212" s="85"/>
      <c r="M212" s="77"/>
      <c r="N212" s="77"/>
      <c r="O212" s="78"/>
      <c r="P212" s="79"/>
      <c r="Q212" s="79"/>
      <c r="R212" s="82" t="str">
        <f t="shared" si="4"/>
        <v/>
      </c>
    </row>
    <row r="213" spans="1:18" x14ac:dyDescent="0.25">
      <c r="A213" s="83" t="str">
        <f>IFERROR(IF(C213&lt;&gt;"",A212+1,""),MAX($A$10:A212)+1)</f>
        <v/>
      </c>
      <c r="B213" s="86"/>
      <c r="C213" s="85"/>
      <c r="D213" s="85"/>
      <c r="E213" s="85"/>
      <c r="F213" s="85"/>
      <c r="G213" s="85"/>
      <c r="H213" s="85"/>
      <c r="I213" s="85"/>
      <c r="J213" s="85"/>
      <c r="K213" s="85"/>
      <c r="L213" s="85"/>
      <c r="M213" s="77"/>
      <c r="N213" s="77"/>
      <c r="O213" s="78"/>
      <c r="P213" s="79"/>
      <c r="Q213" s="79"/>
      <c r="R213" s="82" t="str">
        <f t="shared" si="4"/>
        <v/>
      </c>
    </row>
    <row r="214" spans="1:18" x14ac:dyDescent="0.25">
      <c r="A214" s="83" t="str">
        <f>IFERROR(IF(C214&lt;&gt;"",A213+1,""),MAX($A$10:A213)+1)</f>
        <v/>
      </c>
      <c r="B214" s="86"/>
      <c r="C214" s="85"/>
      <c r="D214" s="85"/>
      <c r="E214" s="85"/>
      <c r="F214" s="85"/>
      <c r="G214" s="85"/>
      <c r="H214" s="85"/>
      <c r="I214" s="85"/>
      <c r="J214" s="85"/>
      <c r="K214" s="85"/>
      <c r="L214" s="85"/>
      <c r="M214" s="77"/>
      <c r="N214" s="77"/>
      <c r="O214" s="78"/>
      <c r="P214" s="79"/>
      <c r="Q214" s="79"/>
      <c r="R214" s="82" t="str">
        <f t="shared" si="4"/>
        <v/>
      </c>
    </row>
    <row r="215" spans="1:18" x14ac:dyDescent="0.25">
      <c r="A215" s="83" t="str">
        <f>IFERROR(IF(C215&lt;&gt;"",A214+1,""),MAX($A$10:A214)+1)</f>
        <v/>
      </c>
      <c r="B215" s="86"/>
      <c r="C215" s="85"/>
      <c r="D215" s="85"/>
      <c r="E215" s="85"/>
      <c r="F215" s="85"/>
      <c r="G215" s="85"/>
      <c r="H215" s="85"/>
      <c r="I215" s="85"/>
      <c r="J215" s="85"/>
      <c r="K215" s="85"/>
      <c r="L215" s="85"/>
      <c r="M215" s="77"/>
      <c r="N215" s="77"/>
      <c r="O215" s="78"/>
      <c r="P215" s="79"/>
      <c r="Q215" s="79"/>
      <c r="R215" s="82" t="str">
        <f t="shared" si="4"/>
        <v/>
      </c>
    </row>
    <row r="216" spans="1:18" x14ac:dyDescent="0.25">
      <c r="A216" s="83" t="str">
        <f>IFERROR(IF(C216&lt;&gt;"",A215+1,""),MAX($A$10:A215)+1)</f>
        <v/>
      </c>
      <c r="B216" s="86"/>
      <c r="C216" s="85"/>
      <c r="D216" s="85"/>
      <c r="E216" s="85"/>
      <c r="F216" s="85"/>
      <c r="G216" s="85"/>
      <c r="H216" s="85"/>
      <c r="I216" s="85"/>
      <c r="J216" s="85"/>
      <c r="K216" s="85"/>
      <c r="L216" s="85"/>
      <c r="M216" s="77"/>
      <c r="N216" s="77"/>
      <c r="O216" s="78"/>
      <c r="P216" s="79"/>
      <c r="Q216" s="79"/>
      <c r="R216" s="82" t="str">
        <f t="shared" si="4"/>
        <v/>
      </c>
    </row>
    <row r="217" spans="1:18" x14ac:dyDescent="0.25">
      <c r="A217" s="83" t="str">
        <f>IFERROR(IF(C217&lt;&gt;"",A216+1,""),MAX($A$10:A216)+1)</f>
        <v/>
      </c>
      <c r="B217" s="86"/>
      <c r="C217" s="85"/>
      <c r="D217" s="85"/>
      <c r="E217" s="85"/>
      <c r="F217" s="85"/>
      <c r="G217" s="85"/>
      <c r="H217" s="85"/>
      <c r="I217" s="85"/>
      <c r="J217" s="85"/>
      <c r="K217" s="85"/>
      <c r="L217" s="85"/>
      <c r="M217" s="77"/>
      <c r="N217" s="77"/>
      <c r="O217" s="78"/>
      <c r="P217" s="79"/>
      <c r="Q217" s="79"/>
      <c r="R217" s="82" t="str">
        <f t="shared" si="4"/>
        <v/>
      </c>
    </row>
    <row r="218" spans="1:18" x14ac:dyDescent="0.25">
      <c r="A218" s="83" t="str">
        <f>IFERROR(IF(C218&lt;&gt;"",A217+1,""),MAX($A$10:A217)+1)</f>
        <v/>
      </c>
      <c r="B218" s="86"/>
      <c r="C218" s="85"/>
      <c r="D218" s="85"/>
      <c r="E218" s="85"/>
      <c r="F218" s="85"/>
      <c r="G218" s="85"/>
      <c r="H218" s="85"/>
      <c r="I218" s="85"/>
      <c r="J218" s="85"/>
      <c r="K218" s="85"/>
      <c r="L218" s="85"/>
      <c r="M218" s="77"/>
      <c r="N218" s="77"/>
      <c r="O218" s="78"/>
      <c r="P218" s="79"/>
      <c r="Q218" s="79"/>
      <c r="R218" s="82" t="str">
        <f t="shared" si="4"/>
        <v/>
      </c>
    </row>
    <row r="219" spans="1:18" x14ac:dyDescent="0.25">
      <c r="A219" s="83" t="str">
        <f>IFERROR(IF(C219&lt;&gt;"",A218+1,""),MAX($A$10:A218)+1)</f>
        <v/>
      </c>
      <c r="B219" s="86"/>
      <c r="C219" s="85"/>
      <c r="D219" s="85"/>
      <c r="E219" s="85"/>
      <c r="F219" s="85"/>
      <c r="G219" s="85"/>
      <c r="H219" s="85"/>
      <c r="I219" s="85"/>
      <c r="J219" s="85"/>
      <c r="K219" s="85"/>
      <c r="L219" s="85"/>
      <c r="M219" s="77"/>
      <c r="N219" s="77"/>
      <c r="O219" s="78"/>
      <c r="P219" s="79"/>
      <c r="Q219" s="79"/>
      <c r="R219" s="82" t="str">
        <f t="shared" si="4"/>
        <v/>
      </c>
    </row>
    <row r="220" spans="1:18" x14ac:dyDescent="0.25">
      <c r="A220" s="83" t="str">
        <f>IFERROR(IF(C220&lt;&gt;"",A219+1,""),MAX($A$10:A219)+1)</f>
        <v/>
      </c>
      <c r="B220" s="86"/>
      <c r="C220" s="85"/>
      <c r="D220" s="85"/>
      <c r="E220" s="85"/>
      <c r="F220" s="85"/>
      <c r="G220" s="85"/>
      <c r="H220" s="85"/>
      <c r="I220" s="85"/>
      <c r="J220" s="85"/>
      <c r="K220" s="85"/>
      <c r="L220" s="85"/>
      <c r="M220" s="77"/>
      <c r="N220" s="77"/>
      <c r="O220" s="78"/>
      <c r="P220" s="79"/>
      <c r="Q220" s="79"/>
      <c r="R220" s="82" t="str">
        <f t="shared" si="4"/>
        <v/>
      </c>
    </row>
    <row r="221" spans="1:18" x14ac:dyDescent="0.25">
      <c r="A221" s="83" t="str">
        <f>IFERROR(IF(C221&lt;&gt;"",A220+1,""),MAX($A$10:A220)+1)</f>
        <v/>
      </c>
      <c r="B221" s="86"/>
      <c r="C221" s="85"/>
      <c r="D221" s="85"/>
      <c r="E221" s="85"/>
      <c r="F221" s="85"/>
      <c r="G221" s="85"/>
      <c r="H221" s="85"/>
      <c r="I221" s="85"/>
      <c r="J221" s="85"/>
      <c r="K221" s="85"/>
      <c r="L221" s="85"/>
      <c r="M221" s="77"/>
      <c r="N221" s="77"/>
      <c r="O221" s="78"/>
      <c r="P221" s="79"/>
      <c r="Q221" s="79"/>
      <c r="R221" s="82" t="str">
        <f t="shared" si="4"/>
        <v/>
      </c>
    </row>
    <row r="222" spans="1:18" x14ac:dyDescent="0.25">
      <c r="A222" s="83" t="str">
        <f>IFERROR(IF(C222&lt;&gt;"",A221+1,""),MAX($A$10:A221)+1)</f>
        <v/>
      </c>
      <c r="B222" s="86"/>
      <c r="C222" s="85"/>
      <c r="D222" s="85"/>
      <c r="E222" s="85"/>
      <c r="F222" s="85"/>
      <c r="G222" s="85"/>
      <c r="H222" s="85"/>
      <c r="I222" s="85"/>
      <c r="J222" s="85"/>
      <c r="K222" s="85"/>
      <c r="L222" s="85"/>
      <c r="M222" s="77"/>
      <c r="N222" s="77"/>
      <c r="O222" s="78"/>
      <c r="P222" s="79"/>
      <c r="Q222" s="79"/>
      <c r="R222" s="82" t="str">
        <f t="shared" si="4"/>
        <v/>
      </c>
    </row>
    <row r="223" spans="1:18" x14ac:dyDescent="0.25">
      <c r="A223" s="83" t="str">
        <f>IFERROR(IF(C223&lt;&gt;"",A222+1,""),MAX($A$10:A222)+1)</f>
        <v/>
      </c>
      <c r="B223" s="86"/>
      <c r="C223" s="85"/>
      <c r="D223" s="85"/>
      <c r="E223" s="85"/>
      <c r="F223" s="85"/>
      <c r="G223" s="85"/>
      <c r="H223" s="85"/>
      <c r="I223" s="85"/>
      <c r="J223" s="85"/>
      <c r="K223" s="85"/>
      <c r="L223" s="85"/>
      <c r="M223" s="77"/>
      <c r="N223" s="77"/>
      <c r="O223" s="78"/>
      <c r="P223" s="79"/>
      <c r="Q223" s="79"/>
      <c r="R223" s="82" t="str">
        <f t="shared" si="4"/>
        <v/>
      </c>
    </row>
    <row r="224" spans="1:18" x14ac:dyDescent="0.25">
      <c r="A224" s="83" t="str">
        <f>IFERROR(IF(C224&lt;&gt;"",A223+1,""),MAX($A$10:A223)+1)</f>
        <v/>
      </c>
      <c r="B224" s="86"/>
      <c r="C224" s="85"/>
      <c r="D224" s="85"/>
      <c r="E224" s="85"/>
      <c r="F224" s="85"/>
      <c r="G224" s="85"/>
      <c r="H224" s="85"/>
      <c r="I224" s="85"/>
      <c r="J224" s="85"/>
      <c r="K224" s="85"/>
      <c r="L224" s="85"/>
      <c r="M224" s="77"/>
      <c r="N224" s="77"/>
      <c r="O224" s="78"/>
      <c r="P224" s="79"/>
      <c r="Q224" s="79"/>
      <c r="R224" s="82" t="str">
        <f t="shared" si="4"/>
        <v/>
      </c>
    </row>
    <row r="225" spans="1:18" x14ac:dyDescent="0.25">
      <c r="A225" s="83" t="str">
        <f>IFERROR(IF(C225&lt;&gt;"",A224+1,""),MAX($A$10:A224)+1)</f>
        <v/>
      </c>
      <c r="B225" s="86"/>
      <c r="C225" s="85"/>
      <c r="D225" s="85"/>
      <c r="E225" s="85"/>
      <c r="F225" s="85"/>
      <c r="G225" s="85"/>
      <c r="H225" s="85"/>
      <c r="I225" s="85"/>
      <c r="J225" s="85"/>
      <c r="K225" s="85"/>
      <c r="L225" s="85"/>
      <c r="M225" s="77"/>
      <c r="N225" s="77"/>
      <c r="O225" s="78"/>
      <c r="P225" s="79"/>
      <c r="Q225" s="79"/>
      <c r="R225" s="82" t="str">
        <f t="shared" si="4"/>
        <v/>
      </c>
    </row>
    <row r="226" spans="1:18" x14ac:dyDescent="0.25">
      <c r="A226" s="83" t="str">
        <f>IFERROR(IF(C226&lt;&gt;"",A225+1,""),MAX($A$10:A225)+1)</f>
        <v/>
      </c>
      <c r="B226" s="86"/>
      <c r="C226" s="85"/>
      <c r="D226" s="85"/>
      <c r="E226" s="85"/>
      <c r="F226" s="85"/>
      <c r="G226" s="85"/>
      <c r="H226" s="85"/>
      <c r="I226" s="85"/>
      <c r="J226" s="85"/>
      <c r="K226" s="85"/>
      <c r="L226" s="85"/>
      <c r="M226" s="77"/>
      <c r="N226" s="77"/>
      <c r="O226" s="78"/>
      <c r="P226" s="79"/>
      <c r="Q226" s="79"/>
      <c r="R226" s="82" t="str">
        <f t="shared" si="4"/>
        <v/>
      </c>
    </row>
    <row r="227" spans="1:18" x14ac:dyDescent="0.25">
      <c r="A227" s="83" t="str">
        <f>IFERROR(IF(C227&lt;&gt;"",A226+1,""),MAX($A$10:A226)+1)</f>
        <v/>
      </c>
      <c r="B227" s="86"/>
      <c r="C227" s="85"/>
      <c r="D227" s="85"/>
      <c r="E227" s="85"/>
      <c r="F227" s="85"/>
      <c r="G227" s="85"/>
      <c r="H227" s="85"/>
      <c r="I227" s="85"/>
      <c r="J227" s="85"/>
      <c r="K227" s="85"/>
      <c r="L227" s="85"/>
      <c r="M227" s="77"/>
      <c r="N227" s="77"/>
      <c r="O227" s="78"/>
      <c r="P227" s="79"/>
      <c r="Q227" s="79"/>
      <c r="R227" s="82" t="str">
        <f t="shared" si="4"/>
        <v/>
      </c>
    </row>
    <row r="228" spans="1:18" x14ac:dyDescent="0.25">
      <c r="A228" s="83" t="str">
        <f>IFERROR(IF(C228&lt;&gt;"",A227+1,""),MAX($A$10:A227)+1)</f>
        <v/>
      </c>
      <c r="B228" s="86"/>
      <c r="C228" s="85"/>
      <c r="D228" s="85"/>
      <c r="E228" s="85"/>
      <c r="F228" s="85"/>
      <c r="G228" s="85"/>
      <c r="H228" s="85"/>
      <c r="I228" s="85"/>
      <c r="J228" s="85"/>
      <c r="K228" s="85"/>
      <c r="L228" s="85"/>
      <c r="M228" s="77"/>
      <c r="N228" s="77"/>
      <c r="O228" s="78"/>
      <c r="P228" s="79"/>
      <c r="Q228" s="79"/>
      <c r="R228" s="82" t="str">
        <f t="shared" si="4"/>
        <v/>
      </c>
    </row>
    <row r="229" spans="1:18" x14ac:dyDescent="0.25">
      <c r="A229" s="83" t="str">
        <f>IFERROR(IF(C229&lt;&gt;"",A228+1,""),MAX($A$10:A228)+1)</f>
        <v/>
      </c>
      <c r="B229" s="86"/>
      <c r="C229" s="85"/>
      <c r="D229" s="85"/>
      <c r="E229" s="85"/>
      <c r="F229" s="85"/>
      <c r="G229" s="85"/>
      <c r="H229" s="85"/>
      <c r="I229" s="85"/>
      <c r="J229" s="85"/>
      <c r="K229" s="85"/>
      <c r="L229" s="85"/>
      <c r="M229" s="77"/>
      <c r="N229" s="77"/>
      <c r="O229" s="78"/>
      <c r="P229" s="79"/>
      <c r="Q229" s="79"/>
      <c r="R229" s="82" t="str">
        <f t="shared" si="4"/>
        <v/>
      </c>
    </row>
    <row r="230" spans="1:18" x14ac:dyDescent="0.25">
      <c r="A230" s="83" t="str">
        <f>IFERROR(IF(C230&lt;&gt;"",A229+1,""),MAX($A$10:A229)+1)</f>
        <v/>
      </c>
      <c r="B230" s="86"/>
      <c r="C230" s="85"/>
      <c r="D230" s="85"/>
      <c r="E230" s="85"/>
      <c r="F230" s="85"/>
      <c r="G230" s="85"/>
      <c r="H230" s="85"/>
      <c r="I230" s="85"/>
      <c r="J230" s="85"/>
      <c r="K230" s="85"/>
      <c r="L230" s="85"/>
      <c r="M230" s="77"/>
      <c r="N230" s="77"/>
      <c r="O230" s="78"/>
      <c r="P230" s="79"/>
      <c r="Q230" s="79"/>
      <c r="R230" s="82" t="str">
        <f t="shared" si="4"/>
        <v/>
      </c>
    </row>
    <row r="231" spans="1:18" x14ac:dyDescent="0.25">
      <c r="A231" s="83" t="str">
        <f>IFERROR(IF(C231&lt;&gt;"",A230+1,""),MAX($A$10:A230)+1)</f>
        <v/>
      </c>
      <c r="B231" s="86"/>
      <c r="C231" s="85"/>
      <c r="D231" s="85"/>
      <c r="E231" s="85"/>
      <c r="F231" s="85"/>
      <c r="G231" s="85"/>
      <c r="H231" s="85"/>
      <c r="I231" s="85"/>
      <c r="J231" s="85"/>
      <c r="K231" s="85"/>
      <c r="L231" s="85"/>
      <c r="M231" s="77"/>
      <c r="N231" s="77"/>
      <c r="O231" s="78"/>
      <c r="P231" s="79"/>
      <c r="Q231" s="79"/>
      <c r="R231" s="82" t="str">
        <f t="shared" si="4"/>
        <v/>
      </c>
    </row>
    <row r="232" spans="1:18" x14ac:dyDescent="0.25">
      <c r="A232" s="83" t="str">
        <f>IFERROR(IF(C232&lt;&gt;"",A231+1,""),MAX($A$10:A231)+1)</f>
        <v/>
      </c>
      <c r="B232" s="86"/>
      <c r="C232" s="85"/>
      <c r="D232" s="85"/>
      <c r="E232" s="85"/>
      <c r="F232" s="85"/>
      <c r="G232" s="85"/>
      <c r="H232" s="85"/>
      <c r="I232" s="85"/>
      <c r="J232" s="85"/>
      <c r="K232" s="85"/>
      <c r="L232" s="85"/>
      <c r="M232" s="77"/>
      <c r="N232" s="77"/>
      <c r="O232" s="78"/>
      <c r="P232" s="79"/>
      <c r="Q232" s="79"/>
      <c r="R232" s="82" t="str">
        <f t="shared" si="4"/>
        <v/>
      </c>
    </row>
    <row r="233" spans="1:18" x14ac:dyDescent="0.25">
      <c r="A233" s="83" t="str">
        <f>IFERROR(IF(C233&lt;&gt;"",A232+1,""),MAX($A$10:A232)+1)</f>
        <v/>
      </c>
      <c r="B233" s="86"/>
      <c r="C233" s="85"/>
      <c r="D233" s="85"/>
      <c r="E233" s="85"/>
      <c r="F233" s="85"/>
      <c r="G233" s="85"/>
      <c r="H233" s="85"/>
      <c r="I233" s="85"/>
      <c r="J233" s="85"/>
      <c r="K233" s="85"/>
      <c r="L233" s="85"/>
      <c r="M233" s="77"/>
      <c r="N233" s="77"/>
      <c r="O233" s="78"/>
      <c r="P233" s="79"/>
      <c r="Q233" s="79"/>
      <c r="R233" s="82" t="str">
        <f t="shared" si="4"/>
        <v/>
      </c>
    </row>
    <row r="234" spans="1:18" x14ac:dyDescent="0.25">
      <c r="A234" s="83" t="str">
        <f>IFERROR(IF(C234&lt;&gt;"",A233+1,""),MAX($A$10:A233)+1)</f>
        <v/>
      </c>
      <c r="B234" s="86"/>
      <c r="C234" s="85"/>
      <c r="D234" s="85"/>
      <c r="E234" s="85"/>
      <c r="F234" s="85"/>
      <c r="G234" s="85"/>
      <c r="H234" s="85"/>
      <c r="I234" s="85"/>
      <c r="J234" s="85"/>
      <c r="K234" s="85"/>
      <c r="L234" s="85"/>
      <c r="M234" s="77"/>
      <c r="N234" s="77"/>
      <c r="O234" s="78"/>
      <c r="P234" s="79"/>
      <c r="Q234" s="79"/>
      <c r="R234" s="82" t="str">
        <f t="shared" si="4"/>
        <v/>
      </c>
    </row>
    <row r="235" spans="1:18" x14ac:dyDescent="0.25">
      <c r="A235" s="83" t="str">
        <f>IFERROR(IF(C235&lt;&gt;"",A234+1,""),MAX($A$10:A234)+1)</f>
        <v/>
      </c>
      <c r="B235" s="86"/>
      <c r="C235" s="85"/>
      <c r="D235" s="85"/>
      <c r="E235" s="85"/>
      <c r="F235" s="85"/>
      <c r="G235" s="85"/>
      <c r="H235" s="85"/>
      <c r="I235" s="85"/>
      <c r="J235" s="85"/>
      <c r="K235" s="85"/>
      <c r="L235" s="85"/>
      <c r="M235" s="77"/>
      <c r="N235" s="77"/>
      <c r="O235" s="78"/>
      <c r="P235" s="79"/>
      <c r="Q235" s="79"/>
      <c r="R235" s="82" t="str">
        <f t="shared" si="4"/>
        <v/>
      </c>
    </row>
    <row r="236" spans="1:18" x14ac:dyDescent="0.25">
      <c r="A236" s="83" t="str">
        <f>IFERROR(IF(C236&lt;&gt;"",A235+1,""),MAX($A$10:A235)+1)</f>
        <v/>
      </c>
      <c r="B236" s="86"/>
      <c r="C236" s="85"/>
      <c r="D236" s="85"/>
      <c r="E236" s="85"/>
      <c r="F236" s="85"/>
      <c r="G236" s="85"/>
      <c r="H236" s="85"/>
      <c r="I236" s="85"/>
      <c r="J236" s="85"/>
      <c r="K236" s="85"/>
      <c r="L236" s="85"/>
      <c r="M236" s="77"/>
      <c r="N236" s="77"/>
      <c r="O236" s="78"/>
      <c r="P236" s="79"/>
      <c r="Q236" s="79"/>
      <c r="R236" s="82" t="str">
        <f t="shared" si="4"/>
        <v/>
      </c>
    </row>
    <row r="237" spans="1:18" x14ac:dyDescent="0.25">
      <c r="A237" s="83" t="str">
        <f>IFERROR(IF(C237&lt;&gt;"",A236+1,""),MAX($A$10:A236)+1)</f>
        <v/>
      </c>
      <c r="B237" s="86"/>
      <c r="C237" s="85"/>
      <c r="D237" s="85"/>
      <c r="E237" s="85"/>
      <c r="F237" s="85"/>
      <c r="G237" s="85"/>
      <c r="H237" s="85"/>
      <c r="I237" s="85"/>
      <c r="J237" s="85"/>
      <c r="K237" s="85"/>
      <c r="L237" s="85"/>
      <c r="M237" s="77"/>
      <c r="N237" s="77"/>
      <c r="O237" s="78"/>
      <c r="P237" s="79"/>
      <c r="Q237" s="79"/>
      <c r="R237" s="82" t="str">
        <f t="shared" si="4"/>
        <v/>
      </c>
    </row>
    <row r="238" spans="1:18" x14ac:dyDescent="0.25">
      <c r="A238" s="83" t="str">
        <f>IFERROR(IF(C238&lt;&gt;"",A237+1,""),MAX($A$10:A237)+1)</f>
        <v/>
      </c>
      <c r="B238" s="86"/>
      <c r="C238" s="85"/>
      <c r="D238" s="85"/>
      <c r="E238" s="85"/>
      <c r="F238" s="85"/>
      <c r="G238" s="85"/>
      <c r="H238" s="85"/>
      <c r="I238" s="85"/>
      <c r="J238" s="85"/>
      <c r="K238" s="85"/>
      <c r="L238" s="85"/>
      <c r="M238" s="77"/>
      <c r="N238" s="77"/>
      <c r="O238" s="78"/>
      <c r="P238" s="79"/>
      <c r="Q238" s="79"/>
      <c r="R238" s="82" t="str">
        <f t="shared" si="4"/>
        <v/>
      </c>
    </row>
    <row r="239" spans="1:18" x14ac:dyDescent="0.25">
      <c r="A239" s="83" t="str">
        <f>IFERROR(IF(C239&lt;&gt;"",A238+1,""),MAX($A$10:A238)+1)</f>
        <v/>
      </c>
      <c r="B239" s="86"/>
      <c r="C239" s="85"/>
      <c r="D239" s="85"/>
      <c r="E239" s="85"/>
      <c r="F239" s="85"/>
      <c r="G239" s="85"/>
      <c r="H239" s="85"/>
      <c r="I239" s="85"/>
      <c r="J239" s="85"/>
      <c r="K239" s="85"/>
      <c r="L239" s="85"/>
      <c r="M239" s="77"/>
      <c r="N239" s="77"/>
      <c r="O239" s="78"/>
      <c r="P239" s="79"/>
      <c r="Q239" s="79"/>
      <c r="R239" s="82" t="str">
        <f t="shared" si="4"/>
        <v/>
      </c>
    </row>
    <row r="240" spans="1:18" x14ac:dyDescent="0.25">
      <c r="A240" s="83" t="str">
        <f>IFERROR(IF(C240&lt;&gt;"",A239+1,""),MAX($A$10:A239)+1)</f>
        <v/>
      </c>
      <c r="B240" s="86"/>
      <c r="C240" s="85"/>
      <c r="D240" s="85"/>
      <c r="E240" s="85"/>
      <c r="F240" s="85"/>
      <c r="G240" s="85"/>
      <c r="H240" s="85"/>
      <c r="I240" s="85"/>
      <c r="J240" s="85"/>
      <c r="K240" s="85"/>
      <c r="L240" s="85"/>
      <c r="M240" s="77"/>
      <c r="N240" s="77"/>
      <c r="O240" s="78"/>
      <c r="P240" s="79"/>
      <c r="Q240" s="79"/>
      <c r="R240" s="82" t="str">
        <f t="shared" si="4"/>
        <v/>
      </c>
    </row>
    <row r="241" spans="1:18" x14ac:dyDescent="0.25">
      <c r="A241" s="83" t="str">
        <f>IFERROR(IF(C241&lt;&gt;"",A240+1,""),MAX($A$10:A240)+1)</f>
        <v/>
      </c>
      <c r="B241" s="86"/>
      <c r="C241" s="85"/>
      <c r="D241" s="85"/>
      <c r="E241" s="85"/>
      <c r="F241" s="85"/>
      <c r="G241" s="85"/>
      <c r="H241" s="85"/>
      <c r="I241" s="85"/>
      <c r="J241" s="85"/>
      <c r="K241" s="85"/>
      <c r="L241" s="85"/>
      <c r="M241" s="77"/>
      <c r="N241" s="77"/>
      <c r="O241" s="78"/>
      <c r="P241" s="79"/>
      <c r="Q241" s="79"/>
      <c r="R241" s="82" t="str">
        <f t="shared" si="4"/>
        <v/>
      </c>
    </row>
    <row r="242" spans="1:18" x14ac:dyDescent="0.25">
      <c r="A242" s="83" t="str">
        <f>IFERROR(IF(C242&lt;&gt;"",A241+1,""),MAX($A$10:A241)+1)</f>
        <v/>
      </c>
      <c r="B242" s="86"/>
      <c r="C242" s="85"/>
      <c r="D242" s="85"/>
      <c r="E242" s="85"/>
      <c r="F242" s="85"/>
      <c r="G242" s="85"/>
      <c r="H242" s="85"/>
      <c r="I242" s="85"/>
      <c r="J242" s="85"/>
      <c r="K242" s="85"/>
      <c r="L242" s="85"/>
      <c r="M242" s="77"/>
      <c r="N242" s="77"/>
      <c r="O242" s="78"/>
      <c r="P242" s="79"/>
      <c r="Q242" s="79"/>
      <c r="R242" s="82" t="str">
        <f t="shared" si="4"/>
        <v/>
      </c>
    </row>
    <row r="243" spans="1:18" x14ac:dyDescent="0.25">
      <c r="A243" s="83" t="str">
        <f>IFERROR(IF(C243&lt;&gt;"",A242+1,""),MAX($A$10:A242)+1)</f>
        <v/>
      </c>
      <c r="B243" s="86"/>
      <c r="C243" s="85"/>
      <c r="D243" s="85"/>
      <c r="E243" s="85"/>
      <c r="F243" s="85"/>
      <c r="G243" s="85"/>
      <c r="H243" s="85"/>
      <c r="I243" s="85"/>
      <c r="J243" s="85"/>
      <c r="K243" s="85"/>
      <c r="L243" s="85"/>
      <c r="M243" s="77"/>
      <c r="N243" s="77"/>
      <c r="O243" s="78"/>
      <c r="P243" s="79"/>
      <c r="Q243" s="79"/>
      <c r="R243" s="82" t="str">
        <f t="shared" si="4"/>
        <v/>
      </c>
    </row>
    <row r="244" spans="1:18" x14ac:dyDescent="0.25">
      <c r="A244" s="83" t="str">
        <f>IFERROR(IF(C244&lt;&gt;"",A243+1,""),MAX($A$10:A243)+1)</f>
        <v/>
      </c>
      <c r="B244" s="86"/>
      <c r="C244" s="85"/>
      <c r="D244" s="85"/>
      <c r="E244" s="85"/>
      <c r="F244" s="85"/>
      <c r="G244" s="85"/>
      <c r="H244" s="85"/>
      <c r="I244" s="85"/>
      <c r="J244" s="85"/>
      <c r="K244" s="85"/>
      <c r="L244" s="85"/>
      <c r="M244" s="77"/>
      <c r="N244" s="77"/>
      <c r="O244" s="78"/>
      <c r="P244" s="79"/>
      <c r="Q244" s="79"/>
      <c r="R244" s="82" t="str">
        <f t="shared" si="4"/>
        <v/>
      </c>
    </row>
    <row r="245" spans="1:18" x14ac:dyDescent="0.25">
      <c r="A245" s="83" t="str">
        <f>IFERROR(IF(C245&lt;&gt;"",A244+1,""),MAX($A$10:A244)+1)</f>
        <v/>
      </c>
      <c r="B245" s="86"/>
      <c r="C245" s="85"/>
      <c r="D245" s="85"/>
      <c r="E245" s="85"/>
      <c r="F245" s="85"/>
      <c r="G245" s="85"/>
      <c r="H245" s="85"/>
      <c r="I245" s="85"/>
      <c r="J245" s="85"/>
      <c r="K245" s="85"/>
      <c r="L245" s="85"/>
      <c r="M245" s="77"/>
      <c r="N245" s="77"/>
      <c r="O245" s="78"/>
      <c r="P245" s="79"/>
      <c r="Q245" s="79"/>
      <c r="R245" s="82" t="str">
        <f t="shared" si="4"/>
        <v/>
      </c>
    </row>
    <row r="246" spans="1:18" x14ac:dyDescent="0.25">
      <c r="A246" s="83" t="str">
        <f>IFERROR(IF(C246&lt;&gt;"",A245+1,""),MAX($A$10:A245)+1)</f>
        <v/>
      </c>
      <c r="B246" s="86"/>
      <c r="C246" s="86"/>
      <c r="D246" s="86"/>
      <c r="E246" s="86"/>
      <c r="F246" s="86"/>
      <c r="G246" s="86"/>
      <c r="H246" s="86"/>
      <c r="I246" s="86"/>
      <c r="J246" s="86"/>
      <c r="K246" s="86"/>
      <c r="L246" s="86"/>
      <c r="P246" s="67"/>
      <c r="Q246" s="67"/>
    </row>
    <row r="247" spans="1:18" x14ac:dyDescent="0.25">
      <c r="A247" s="76" t="str">
        <f>IFERROR(IF(C247&lt;&gt;"",A246+1,""),MAX($A$10:A246)+1)</f>
        <v/>
      </c>
      <c r="P247" s="67"/>
      <c r="Q247" s="67"/>
    </row>
    <row r="248" spans="1:18" x14ac:dyDescent="0.25">
      <c r="A248" s="76" t="str">
        <f>IFERROR(IF(C248&lt;&gt;"",A247+1,""),MAX($A$10:A247)+1)</f>
        <v/>
      </c>
      <c r="P248" s="67"/>
      <c r="Q248" s="67"/>
    </row>
    <row r="249" spans="1:18" x14ac:dyDescent="0.25">
      <c r="A249" s="76" t="str">
        <f>IFERROR(IF(C249&lt;&gt;"",A248+1,""),MAX($A$10:A248)+1)</f>
        <v/>
      </c>
      <c r="P249" s="67"/>
      <c r="Q249" s="67"/>
    </row>
    <row r="250" spans="1:18" x14ac:dyDescent="0.25">
      <c r="A250" s="76" t="str">
        <f>IFERROR(IF(C250&lt;&gt;"",A249+1,""),MAX($A$10:A249)+1)</f>
        <v/>
      </c>
      <c r="P250" s="67"/>
      <c r="Q250" s="67"/>
    </row>
    <row r="251" spans="1:18" x14ac:dyDescent="0.25">
      <c r="A251" s="76" t="str">
        <f>IFERROR(IF(C251&lt;&gt;"",A250+1,""),MAX($A$10:A250)+1)</f>
        <v/>
      </c>
      <c r="P251" s="67"/>
      <c r="Q251" s="67"/>
    </row>
    <row r="252" spans="1:18" x14ac:dyDescent="0.25">
      <c r="A252" s="76" t="str">
        <f>IFERROR(IF(C252&lt;&gt;"",A251+1,""),MAX($A$10:A251)+1)</f>
        <v/>
      </c>
      <c r="P252" s="67"/>
      <c r="Q252" s="67"/>
    </row>
    <row r="253" spans="1:18" x14ac:dyDescent="0.25">
      <c r="A253" s="76" t="str">
        <f>IFERROR(IF(C253&lt;&gt;"",A252+1,""),MAX($A$10:A252)+1)</f>
        <v/>
      </c>
      <c r="P253" s="67"/>
      <c r="Q253" s="67"/>
    </row>
    <row r="254" spans="1:18" x14ac:dyDescent="0.25">
      <c r="A254" s="76" t="str">
        <f>IFERROR(IF(C254&lt;&gt;"",A253+1,""),MAX($A$10:A253)+1)</f>
        <v/>
      </c>
      <c r="P254" s="67"/>
      <c r="Q254" s="67"/>
    </row>
    <row r="255" spans="1:18" x14ac:dyDescent="0.25">
      <c r="A255" s="76" t="str">
        <f>IFERROR(IF(C255&lt;&gt;"",A254+1,""),MAX($A$10:A254)+1)</f>
        <v/>
      </c>
      <c r="P255" s="67"/>
      <c r="Q255" s="67"/>
    </row>
    <row r="256" spans="1:18" x14ac:dyDescent="0.25">
      <c r="A256" s="76" t="str">
        <f>IFERROR(IF(C256&lt;&gt;"",A255+1,""),MAX($A$10:A255)+1)</f>
        <v/>
      </c>
      <c r="P256" s="67"/>
      <c r="Q256" s="67"/>
    </row>
    <row r="257" spans="1:17" x14ac:dyDescent="0.25">
      <c r="A257" s="76" t="str">
        <f>IFERROR(IF(C257&lt;&gt;"",A256+1,""),MAX($A$10:A256)+1)</f>
        <v/>
      </c>
      <c r="P257" s="67"/>
      <c r="Q257" s="67"/>
    </row>
    <row r="258" spans="1:17" x14ac:dyDescent="0.25">
      <c r="A258" s="76" t="str">
        <f>IFERROR(IF(C258&lt;&gt;"",A257+1,""),MAX($A$10:A257)+1)</f>
        <v/>
      </c>
      <c r="P258" s="67"/>
      <c r="Q258" s="67"/>
    </row>
    <row r="259" spans="1:17" x14ac:dyDescent="0.25">
      <c r="A259" s="76" t="str">
        <f>IFERROR(IF(C259&lt;&gt;"",A258+1,""),MAX($A$10:A258)+1)</f>
        <v/>
      </c>
      <c r="P259" s="67"/>
      <c r="Q259" s="67"/>
    </row>
    <row r="260" spans="1:17" x14ac:dyDescent="0.25">
      <c r="A260" s="76" t="str">
        <f>IFERROR(IF(C260&lt;&gt;"",A259+1,""),MAX($A$10:A259)+1)</f>
        <v/>
      </c>
      <c r="P260" s="67"/>
      <c r="Q260" s="67"/>
    </row>
    <row r="261" spans="1:17" x14ac:dyDescent="0.25">
      <c r="A261" s="76" t="str">
        <f>IFERROR(IF(C261&lt;&gt;"",A260+1,""),MAX($A$10:A260)+1)</f>
        <v/>
      </c>
      <c r="P261" s="67"/>
      <c r="Q261" s="67"/>
    </row>
    <row r="262" spans="1:17" x14ac:dyDescent="0.25">
      <c r="A262" s="76" t="str">
        <f>IFERROR(IF(C262&lt;&gt;"",A261+1,""),MAX($A$10:A261)+1)</f>
        <v/>
      </c>
      <c r="P262" s="67"/>
      <c r="Q262" s="67"/>
    </row>
    <row r="263" spans="1:17" x14ac:dyDescent="0.25">
      <c r="A263" s="76" t="str">
        <f>IFERROR(IF(C263&lt;&gt;"",A262+1,""),MAX($A$10:A262)+1)</f>
        <v/>
      </c>
      <c r="P263" s="67"/>
      <c r="Q263" s="67"/>
    </row>
    <row r="264" spans="1:17" x14ac:dyDescent="0.25">
      <c r="A264" s="76" t="str">
        <f>IFERROR(IF(C264&lt;&gt;"",A263+1,""),MAX($A$10:A263)+1)</f>
        <v/>
      </c>
      <c r="P264" s="67"/>
      <c r="Q264" s="67"/>
    </row>
    <row r="265" spans="1:17" x14ac:dyDescent="0.25">
      <c r="A265" s="76" t="str">
        <f>IFERROR(IF(C265&lt;&gt;"",A264+1,""),MAX($A$10:A264)+1)</f>
        <v/>
      </c>
      <c r="P265" s="67"/>
      <c r="Q265" s="67"/>
    </row>
    <row r="266" spans="1:17" x14ac:dyDescent="0.25">
      <c r="A266" s="76" t="str">
        <f>IFERROR(IF(C266&lt;&gt;"",A265+1,""),MAX($A$10:A265)+1)</f>
        <v/>
      </c>
      <c r="P266" s="67"/>
      <c r="Q266" s="67"/>
    </row>
    <row r="267" spans="1:17" x14ac:dyDescent="0.25">
      <c r="A267" s="76" t="str">
        <f>IFERROR(IF(C267&lt;&gt;"",A266+1,""),MAX($A$10:A266)+1)</f>
        <v/>
      </c>
      <c r="P267" s="67"/>
      <c r="Q267" s="67"/>
    </row>
    <row r="268" spans="1:17" x14ac:dyDescent="0.25">
      <c r="A268" s="76" t="str">
        <f>IFERROR(IF(C268&lt;&gt;"",A267+1,""),MAX($A$10:A267)+1)</f>
        <v/>
      </c>
      <c r="P268" s="67"/>
      <c r="Q268" s="67"/>
    </row>
    <row r="269" spans="1:17" x14ac:dyDescent="0.25">
      <c r="A269" s="76" t="str">
        <f>IFERROR(IF(C269&lt;&gt;"",A268+1,""),MAX($A$10:A268)+1)</f>
        <v/>
      </c>
      <c r="P269" s="67"/>
      <c r="Q269" s="67"/>
    </row>
    <row r="270" spans="1:17" x14ac:dyDescent="0.25">
      <c r="A270" s="76" t="str">
        <f>IFERROR(IF(C270&lt;&gt;"",A269+1,""),MAX($A$10:A269)+1)</f>
        <v/>
      </c>
      <c r="P270" s="67"/>
      <c r="Q270" s="67"/>
    </row>
    <row r="271" spans="1:17" x14ac:dyDescent="0.25">
      <c r="A271" s="76" t="str">
        <f>IFERROR(IF(C271&lt;&gt;"",A270+1,""),MAX($A$10:A270)+1)</f>
        <v/>
      </c>
      <c r="P271" s="67"/>
      <c r="Q271" s="67"/>
    </row>
    <row r="272" spans="1:17" x14ac:dyDescent="0.25">
      <c r="A272" s="76" t="str">
        <f>IFERROR(IF(C272&lt;&gt;"",A271+1,""),MAX($A$10:A271)+1)</f>
        <v/>
      </c>
      <c r="P272" s="67"/>
      <c r="Q272" s="67"/>
    </row>
    <row r="273" spans="1:17" x14ac:dyDescent="0.25">
      <c r="A273" s="76" t="str">
        <f>IFERROR(IF(C273&lt;&gt;"",A272+1,""),MAX($A$10:A272)+1)</f>
        <v/>
      </c>
      <c r="P273" s="67"/>
      <c r="Q273" s="67"/>
    </row>
    <row r="274" spans="1:17" x14ac:dyDescent="0.25">
      <c r="A274" s="76" t="str">
        <f>IFERROR(IF(C274&lt;&gt;"",A273+1,""),MAX($A$10:A273)+1)</f>
        <v/>
      </c>
      <c r="P274" s="67"/>
      <c r="Q274" s="67"/>
    </row>
    <row r="275" spans="1:17" x14ac:dyDescent="0.25">
      <c r="A275" s="76" t="str">
        <f>IFERROR(IF(C275&lt;&gt;"",A274+1,""),MAX($A$10:A274)+1)</f>
        <v/>
      </c>
      <c r="P275" s="67"/>
      <c r="Q275" s="67"/>
    </row>
    <row r="276" spans="1:17" x14ac:dyDescent="0.25">
      <c r="A276" s="76" t="str">
        <f>IFERROR(IF(C276&lt;&gt;"",A275+1,""),MAX($A$10:A275)+1)</f>
        <v/>
      </c>
      <c r="P276" s="67"/>
      <c r="Q276" s="67"/>
    </row>
    <row r="277" spans="1:17" x14ac:dyDescent="0.25">
      <c r="A277" s="76" t="str">
        <f>IFERROR(IF(C277&lt;&gt;"",A276+1,""),MAX($A$10:A276)+1)</f>
        <v/>
      </c>
      <c r="P277" s="67"/>
      <c r="Q277" s="67"/>
    </row>
    <row r="278" spans="1:17" x14ac:dyDescent="0.25">
      <c r="A278" s="76" t="str">
        <f>IFERROR(IF(C278&lt;&gt;"",A277+1,""),MAX($A$10:A277)+1)</f>
        <v/>
      </c>
      <c r="P278" s="67"/>
      <c r="Q278" s="67"/>
    </row>
    <row r="279" spans="1:17" x14ac:dyDescent="0.25">
      <c r="A279" s="76" t="str">
        <f>IFERROR(IF(C279&lt;&gt;"",A278+1,""),MAX($A$10:A278)+1)</f>
        <v/>
      </c>
      <c r="P279" s="67"/>
      <c r="Q279" s="67"/>
    </row>
    <row r="280" spans="1:17" x14ac:dyDescent="0.25">
      <c r="A280" s="76" t="str">
        <f>IFERROR(IF(C280&lt;&gt;"",A279+1,""),MAX($A$10:A279)+1)</f>
        <v/>
      </c>
      <c r="P280" s="67"/>
      <c r="Q280" s="67"/>
    </row>
    <row r="281" spans="1:17" x14ac:dyDescent="0.25">
      <c r="A281" s="76" t="str">
        <f>IFERROR(IF(C281&lt;&gt;"",A280+1,""),MAX($A$10:A280)+1)</f>
        <v/>
      </c>
      <c r="P281" s="67"/>
      <c r="Q281" s="67"/>
    </row>
    <row r="282" spans="1:17" x14ac:dyDescent="0.25">
      <c r="A282" s="76" t="str">
        <f>IFERROR(IF(C282&lt;&gt;"",A281+1,""),MAX($A$10:A281)+1)</f>
        <v/>
      </c>
      <c r="P282" s="67"/>
      <c r="Q282" s="67"/>
    </row>
    <row r="283" spans="1:17" x14ac:dyDescent="0.25">
      <c r="A283" s="76" t="str">
        <f>IFERROR(IF(C283&lt;&gt;"",A282+1,""),MAX($A$10:A282)+1)</f>
        <v/>
      </c>
      <c r="P283" s="67"/>
      <c r="Q283" s="67"/>
    </row>
    <row r="284" spans="1:17" x14ac:dyDescent="0.25">
      <c r="A284" s="76" t="str">
        <f>IFERROR(IF(C284&lt;&gt;"",A283+1,""),MAX($A$10:A283)+1)</f>
        <v/>
      </c>
      <c r="P284" s="67"/>
      <c r="Q284" s="67"/>
    </row>
    <row r="285" spans="1:17" x14ac:dyDescent="0.25">
      <c r="A285" s="76" t="str">
        <f>IFERROR(IF(C285&lt;&gt;"",A284+1,""),MAX($A$10:A284)+1)</f>
        <v/>
      </c>
      <c r="P285" s="67"/>
      <c r="Q285" s="67"/>
    </row>
    <row r="286" spans="1:17" x14ac:dyDescent="0.25">
      <c r="A286" s="76" t="str">
        <f>IFERROR(IF(C286&lt;&gt;"",A285+1,""),MAX($A$10:A285)+1)</f>
        <v/>
      </c>
      <c r="P286" s="67"/>
      <c r="Q286" s="67"/>
    </row>
    <row r="287" spans="1:17" x14ac:dyDescent="0.25">
      <c r="A287" s="76" t="str">
        <f>IFERROR(IF(C287&lt;&gt;"",A286+1,""),MAX($A$10:A286)+1)</f>
        <v/>
      </c>
      <c r="P287" s="67"/>
      <c r="Q287" s="67"/>
    </row>
    <row r="288" spans="1:17" x14ac:dyDescent="0.25">
      <c r="A288" s="76" t="str">
        <f>IFERROR(IF(C288&lt;&gt;"",A287+1,""),MAX($A$10:A287)+1)</f>
        <v/>
      </c>
      <c r="P288" s="67"/>
      <c r="Q288" s="67"/>
    </row>
    <row r="289" spans="1:17" x14ac:dyDescent="0.25">
      <c r="A289" s="76" t="str">
        <f>IFERROR(IF(C289&lt;&gt;"",A288+1,""),MAX($A$10:A288)+1)</f>
        <v/>
      </c>
      <c r="P289" s="67"/>
      <c r="Q289" s="67"/>
    </row>
    <row r="290" spans="1:17" x14ac:dyDescent="0.25">
      <c r="A290" s="76" t="str">
        <f>IFERROR(IF(C290&lt;&gt;"",A289+1,""),MAX($A$10:A289)+1)</f>
        <v/>
      </c>
      <c r="P290" s="67"/>
      <c r="Q290" s="67"/>
    </row>
    <row r="291" spans="1:17" x14ac:dyDescent="0.25">
      <c r="A291" s="76" t="str">
        <f>IFERROR(IF(C291&lt;&gt;"",A290+1,""),MAX($A$10:A290)+1)</f>
        <v/>
      </c>
      <c r="P291" s="67"/>
      <c r="Q291" s="67"/>
    </row>
    <row r="292" spans="1:17" x14ac:dyDescent="0.25">
      <c r="A292" s="76" t="str">
        <f>IFERROR(IF(C292&lt;&gt;"",A291+1,""),MAX($A$10:A291)+1)</f>
        <v/>
      </c>
      <c r="P292" s="67"/>
      <c r="Q292" s="67"/>
    </row>
    <row r="293" spans="1:17" x14ac:dyDescent="0.25">
      <c r="A293" s="76" t="str">
        <f>IFERROR(IF(C293&lt;&gt;"",A292+1,""),MAX($A$10:A292)+1)</f>
        <v/>
      </c>
      <c r="P293" s="67"/>
      <c r="Q293" s="67"/>
    </row>
    <row r="294" spans="1:17" x14ac:dyDescent="0.25">
      <c r="A294" s="76" t="str">
        <f>IFERROR(IF(C294&lt;&gt;"",A293+1,""),MAX($A$10:A293)+1)</f>
        <v/>
      </c>
      <c r="P294" s="67"/>
      <c r="Q294" s="67"/>
    </row>
    <row r="295" spans="1:17" x14ac:dyDescent="0.25">
      <c r="A295" s="76" t="str">
        <f>IFERROR(IF(C295&lt;&gt;"",A294+1,""),MAX($A$10:A294)+1)</f>
        <v/>
      </c>
      <c r="P295" s="67"/>
      <c r="Q295" s="67"/>
    </row>
    <row r="296" spans="1:17" x14ac:dyDescent="0.25">
      <c r="A296" s="76" t="str">
        <f>IFERROR(IF(C296&lt;&gt;"",A295+1,""),MAX($A$10:A295)+1)</f>
        <v/>
      </c>
      <c r="P296" s="67"/>
      <c r="Q296" s="67"/>
    </row>
    <row r="297" spans="1:17" x14ac:dyDescent="0.25">
      <c r="A297" s="76" t="str">
        <f>IFERROR(IF(C297&lt;&gt;"",A296+1,""),MAX($A$10:A296)+1)</f>
        <v/>
      </c>
      <c r="P297" s="67"/>
      <c r="Q297" s="67"/>
    </row>
    <row r="298" spans="1:17" x14ac:dyDescent="0.25">
      <c r="A298" s="76" t="str">
        <f>IFERROR(IF(C298&lt;&gt;"",A297+1,""),MAX($A$10:A297)+1)</f>
        <v/>
      </c>
      <c r="P298" s="67"/>
      <c r="Q298" s="67"/>
    </row>
    <row r="299" spans="1:17" x14ac:dyDescent="0.25">
      <c r="A299" s="76" t="str">
        <f>IFERROR(IF(C299&lt;&gt;"",A298+1,""),MAX($A$10:A298)+1)</f>
        <v/>
      </c>
      <c r="P299" s="67"/>
      <c r="Q299" s="67"/>
    </row>
    <row r="300" spans="1:17" x14ac:dyDescent="0.25">
      <c r="A300" s="76" t="str">
        <f>IFERROR(IF(C300&lt;&gt;"",A299+1,""),MAX($A$10:A299)+1)</f>
        <v/>
      </c>
      <c r="P300" s="67"/>
      <c r="Q300" s="67"/>
    </row>
    <row r="301" spans="1:17" x14ac:dyDescent="0.25">
      <c r="A301" s="76" t="str">
        <f>IFERROR(IF(C301&lt;&gt;"",A300+1,""),MAX($A$10:A300)+1)</f>
        <v/>
      </c>
      <c r="P301" s="67"/>
      <c r="Q301" s="67"/>
    </row>
    <row r="302" spans="1:17" x14ac:dyDescent="0.25">
      <c r="A302" s="76" t="str">
        <f>IFERROR(IF(C302&lt;&gt;"",A301+1,""),MAX($A$10:A301)+1)</f>
        <v/>
      </c>
      <c r="P302" s="67"/>
      <c r="Q302" s="67"/>
    </row>
    <row r="303" spans="1:17" x14ac:dyDescent="0.25">
      <c r="A303" s="76" t="str">
        <f>IFERROR(IF(C303&lt;&gt;"",A302+1,""),MAX($A$10:A302)+1)</f>
        <v/>
      </c>
      <c r="P303" s="67"/>
      <c r="Q303" s="67"/>
    </row>
    <row r="304" spans="1:17" x14ac:dyDescent="0.25">
      <c r="A304" s="76" t="str">
        <f>IFERROR(IF(C304&lt;&gt;"",A303+1,""),MAX($A$10:A303)+1)</f>
        <v/>
      </c>
      <c r="P304" s="67"/>
      <c r="Q304" s="67"/>
    </row>
    <row r="305" spans="1:17" x14ac:dyDescent="0.25">
      <c r="A305" s="76" t="str">
        <f>IFERROR(IF(C305&lt;&gt;"",A304+1,""),MAX($A$10:A304)+1)</f>
        <v/>
      </c>
      <c r="P305" s="67"/>
      <c r="Q305" s="67"/>
    </row>
    <row r="306" spans="1:17" x14ac:dyDescent="0.25">
      <c r="A306" s="76" t="str">
        <f>IFERROR(IF(C306&lt;&gt;"",A305+1,""),MAX($A$10:A305)+1)</f>
        <v/>
      </c>
      <c r="P306" s="67"/>
      <c r="Q306" s="67"/>
    </row>
    <row r="307" spans="1:17" x14ac:dyDescent="0.25">
      <c r="A307" s="76" t="str">
        <f>IFERROR(IF(C307&lt;&gt;"",A306+1,""),MAX($A$10:A306)+1)</f>
        <v/>
      </c>
      <c r="P307" s="67"/>
      <c r="Q307" s="67"/>
    </row>
    <row r="308" spans="1:17" x14ac:dyDescent="0.25">
      <c r="A308" s="76" t="str">
        <f>IFERROR(IF(C308&lt;&gt;"",A307+1,""),MAX($A$10:A307)+1)</f>
        <v/>
      </c>
      <c r="P308" s="67"/>
      <c r="Q308" s="67"/>
    </row>
    <row r="309" spans="1:17" x14ac:dyDescent="0.25">
      <c r="A309" s="76" t="str">
        <f>IFERROR(IF(C309&lt;&gt;"",A308+1,""),MAX($A$10:A308)+1)</f>
        <v/>
      </c>
      <c r="P309" s="67"/>
      <c r="Q309" s="67"/>
    </row>
    <row r="310" spans="1:17" x14ac:dyDescent="0.25">
      <c r="A310" s="76" t="str">
        <f>IFERROR(IF(C310&lt;&gt;"",A309+1,""),MAX($A$10:A309)+1)</f>
        <v/>
      </c>
      <c r="P310" s="67"/>
      <c r="Q310" s="67"/>
    </row>
    <row r="311" spans="1:17" x14ac:dyDescent="0.25">
      <c r="A311" s="76" t="str">
        <f>IFERROR(IF(C311&lt;&gt;"",A310+1,""),MAX($A$10:A310)+1)</f>
        <v/>
      </c>
      <c r="P311" s="67"/>
      <c r="Q311" s="67"/>
    </row>
    <row r="312" spans="1:17" x14ac:dyDescent="0.25">
      <c r="A312" s="76" t="str">
        <f>IFERROR(IF(C312&lt;&gt;"",A311+1,""),MAX($A$10:A311)+1)</f>
        <v/>
      </c>
      <c r="P312" s="67"/>
      <c r="Q312" s="67"/>
    </row>
    <row r="313" spans="1:17" x14ac:dyDescent="0.25">
      <c r="A313" s="76" t="str">
        <f>IFERROR(IF(C313&lt;&gt;"",A312+1,""),MAX($A$10:A312)+1)</f>
        <v/>
      </c>
      <c r="P313" s="67"/>
      <c r="Q313" s="67"/>
    </row>
    <row r="314" spans="1:17" x14ac:dyDescent="0.25">
      <c r="A314" s="76" t="str">
        <f>IFERROR(IF(C314&lt;&gt;"",A313+1,""),MAX($A$10:A313)+1)</f>
        <v/>
      </c>
      <c r="P314" s="67"/>
      <c r="Q314" s="67"/>
    </row>
    <row r="315" spans="1:17" x14ac:dyDescent="0.25">
      <c r="A315" s="76" t="str">
        <f>IFERROR(IF(C315&lt;&gt;"",A314+1,""),MAX($A$10:A314)+1)</f>
        <v/>
      </c>
      <c r="P315" s="67"/>
      <c r="Q315" s="67"/>
    </row>
    <row r="316" spans="1:17" x14ac:dyDescent="0.25">
      <c r="A316" s="76" t="str">
        <f>IFERROR(IF(C316&lt;&gt;"",A315+1,""),MAX($A$10:A315)+1)</f>
        <v/>
      </c>
      <c r="P316" s="67"/>
      <c r="Q316" s="67"/>
    </row>
    <row r="317" spans="1:17" x14ac:dyDescent="0.25">
      <c r="A317" s="76" t="str">
        <f>IFERROR(IF(C317&lt;&gt;"",A316+1,""),MAX($A$10:A316)+1)</f>
        <v/>
      </c>
      <c r="P317" s="67"/>
      <c r="Q317" s="67"/>
    </row>
    <row r="318" spans="1:17" x14ac:dyDescent="0.25">
      <c r="A318" s="76" t="str">
        <f>IFERROR(IF(C318&lt;&gt;"",A317+1,""),MAX($A$10:A317)+1)</f>
        <v/>
      </c>
      <c r="P318" s="67"/>
      <c r="Q318" s="67"/>
    </row>
    <row r="319" spans="1:17" x14ac:dyDescent="0.25">
      <c r="A319" s="76" t="str">
        <f>IFERROR(IF(C319&lt;&gt;"",A318+1,""),MAX($A$10:A318)+1)</f>
        <v/>
      </c>
      <c r="P319" s="67"/>
      <c r="Q319" s="67"/>
    </row>
    <row r="320" spans="1:17" x14ac:dyDescent="0.25">
      <c r="A320" s="76" t="str">
        <f>IFERROR(IF(C320&lt;&gt;"",A319+1,""),MAX($A$10:A319)+1)</f>
        <v/>
      </c>
      <c r="P320" s="67"/>
      <c r="Q320" s="67"/>
    </row>
    <row r="321" spans="1:17" x14ac:dyDescent="0.25">
      <c r="A321" s="76" t="str">
        <f>IFERROR(IF(C321&lt;&gt;"",A320+1,""),MAX($A$10:A320)+1)</f>
        <v/>
      </c>
      <c r="P321" s="67"/>
      <c r="Q321" s="67"/>
    </row>
    <row r="322" spans="1:17" x14ac:dyDescent="0.25">
      <c r="A322" s="76" t="str">
        <f>IFERROR(IF(C322&lt;&gt;"",A321+1,""),MAX($A$10:A321)+1)</f>
        <v/>
      </c>
      <c r="P322" s="67"/>
      <c r="Q322" s="67"/>
    </row>
    <row r="323" spans="1:17" x14ac:dyDescent="0.25">
      <c r="A323" s="76" t="str">
        <f>IFERROR(IF(C323&lt;&gt;"",A322+1,""),MAX($A$10:A322)+1)</f>
        <v/>
      </c>
      <c r="P323" s="67"/>
      <c r="Q323" s="67"/>
    </row>
    <row r="324" spans="1:17" x14ac:dyDescent="0.25">
      <c r="A324" s="76" t="str">
        <f>IFERROR(IF(C324&lt;&gt;"",A323+1,""),MAX($A$10:A323)+1)</f>
        <v/>
      </c>
      <c r="P324" s="67"/>
      <c r="Q324" s="67"/>
    </row>
    <row r="325" spans="1:17" x14ac:dyDescent="0.25">
      <c r="A325" s="76" t="str">
        <f>IFERROR(IF(C325&lt;&gt;"",A324+1,""),MAX($A$10:A324)+1)</f>
        <v/>
      </c>
      <c r="P325" s="67"/>
      <c r="Q325" s="67"/>
    </row>
    <row r="326" spans="1:17" x14ac:dyDescent="0.25">
      <c r="A326" s="76" t="str">
        <f>IFERROR(IF(C326&lt;&gt;"",A325+1,""),MAX($A$10:A325)+1)</f>
        <v/>
      </c>
      <c r="P326" s="67"/>
      <c r="Q326" s="67"/>
    </row>
    <row r="327" spans="1:17" x14ac:dyDescent="0.25">
      <c r="A327" s="76" t="str">
        <f>IFERROR(IF(C327&lt;&gt;"",A326+1,""),MAX($A$10:A326)+1)</f>
        <v/>
      </c>
      <c r="P327" s="67"/>
      <c r="Q327" s="67"/>
    </row>
    <row r="328" spans="1:17" x14ac:dyDescent="0.25">
      <c r="A328" s="76" t="str">
        <f>IFERROR(IF(C328&lt;&gt;"",A327+1,""),MAX($A$10:A327)+1)</f>
        <v/>
      </c>
      <c r="P328" s="67"/>
      <c r="Q328" s="67"/>
    </row>
    <row r="329" spans="1:17" x14ac:dyDescent="0.25">
      <c r="A329" s="76" t="str">
        <f>IFERROR(IF(C329&lt;&gt;"",A328+1,""),MAX($A$10:A328)+1)</f>
        <v/>
      </c>
      <c r="P329" s="67"/>
      <c r="Q329" s="67"/>
    </row>
    <row r="330" spans="1:17" x14ac:dyDescent="0.25">
      <c r="A330" s="76" t="str">
        <f>IFERROR(IF(C330&lt;&gt;"",A329+1,""),MAX($A$10:A329)+1)</f>
        <v/>
      </c>
      <c r="P330" s="67"/>
      <c r="Q330" s="67"/>
    </row>
    <row r="331" spans="1:17" x14ac:dyDescent="0.25">
      <c r="A331" s="76" t="str">
        <f>IFERROR(IF(C331&lt;&gt;"",A330+1,""),MAX($A$10:A330)+1)</f>
        <v/>
      </c>
      <c r="P331" s="67"/>
      <c r="Q331" s="67"/>
    </row>
    <row r="332" spans="1:17" x14ac:dyDescent="0.25">
      <c r="A332" s="76" t="str">
        <f>IFERROR(IF(C332&lt;&gt;"",A331+1,""),MAX($A$10:A331)+1)</f>
        <v/>
      </c>
      <c r="P332" s="67"/>
      <c r="Q332" s="67"/>
    </row>
    <row r="333" spans="1:17" x14ac:dyDescent="0.25">
      <c r="A333" s="76" t="str">
        <f>IFERROR(IF(C333&lt;&gt;"",A332+1,""),MAX($A$10:A332)+1)</f>
        <v/>
      </c>
      <c r="P333" s="67"/>
      <c r="Q333" s="67"/>
    </row>
    <row r="334" spans="1:17" x14ac:dyDescent="0.25">
      <c r="A334" s="76" t="str">
        <f>IFERROR(IF(C334&lt;&gt;"",A333+1,""),MAX($A$10:A333)+1)</f>
        <v/>
      </c>
      <c r="P334" s="67"/>
      <c r="Q334" s="67"/>
    </row>
    <row r="335" spans="1:17" x14ac:dyDescent="0.25">
      <c r="A335" s="76" t="str">
        <f>IFERROR(IF(C335&lt;&gt;"",A334+1,""),MAX($A$10:A334)+1)</f>
        <v/>
      </c>
      <c r="P335" s="67"/>
      <c r="Q335" s="67"/>
    </row>
    <row r="336" spans="1:17" x14ac:dyDescent="0.25">
      <c r="A336" s="76" t="str">
        <f>IFERROR(IF(C336&lt;&gt;"",A335+1,""),MAX($A$10:A335)+1)</f>
        <v/>
      </c>
      <c r="P336" s="67"/>
      <c r="Q336" s="67"/>
    </row>
    <row r="337" spans="1:17" x14ac:dyDescent="0.25">
      <c r="A337" s="76" t="str">
        <f>IFERROR(IF(C337&lt;&gt;"",A336+1,""),MAX($A$10:A336)+1)</f>
        <v/>
      </c>
      <c r="P337" s="67"/>
      <c r="Q337" s="67"/>
    </row>
    <row r="338" spans="1:17" x14ac:dyDescent="0.25">
      <c r="A338" s="76" t="str">
        <f>IFERROR(IF(C338&lt;&gt;"",A337+1,""),MAX($A$10:A337)+1)</f>
        <v/>
      </c>
      <c r="P338" s="67"/>
      <c r="Q338" s="67"/>
    </row>
    <row r="339" spans="1:17" x14ac:dyDescent="0.25">
      <c r="A339" s="76" t="str">
        <f>IFERROR(IF(C339&lt;&gt;"",A338+1,""),MAX($A$10:A338)+1)</f>
        <v/>
      </c>
      <c r="P339" s="67"/>
      <c r="Q339" s="67"/>
    </row>
    <row r="340" spans="1:17" x14ac:dyDescent="0.25">
      <c r="A340" s="76" t="str">
        <f>IFERROR(IF(C340&lt;&gt;"",A339+1,""),MAX($A$10:A339)+1)</f>
        <v/>
      </c>
      <c r="P340" s="67"/>
      <c r="Q340" s="67"/>
    </row>
    <row r="341" spans="1:17" x14ac:dyDescent="0.25">
      <c r="A341" s="76" t="str">
        <f>IFERROR(IF(C341&lt;&gt;"",A340+1,""),MAX($A$10:A340)+1)</f>
        <v/>
      </c>
      <c r="P341" s="67"/>
      <c r="Q341" s="67"/>
    </row>
    <row r="342" spans="1:17" x14ac:dyDescent="0.25">
      <c r="A342" s="76" t="str">
        <f>IFERROR(IF(C342&lt;&gt;"",A341+1,""),MAX($A$10:A341)+1)</f>
        <v/>
      </c>
      <c r="P342" s="67"/>
      <c r="Q342" s="67"/>
    </row>
    <row r="343" spans="1:17" x14ac:dyDescent="0.25">
      <c r="A343" s="76" t="str">
        <f>IFERROR(IF(C343&lt;&gt;"",A342+1,""),MAX($A$10:A342)+1)</f>
        <v/>
      </c>
      <c r="P343" s="67"/>
      <c r="Q343" s="67"/>
    </row>
    <row r="344" spans="1:17" x14ac:dyDescent="0.25">
      <c r="A344" s="76" t="str">
        <f>IFERROR(IF(C344&lt;&gt;"",A343+1,""),MAX($A$10:A343)+1)</f>
        <v/>
      </c>
      <c r="P344" s="67"/>
      <c r="Q344" s="67"/>
    </row>
    <row r="345" spans="1:17" x14ac:dyDescent="0.25">
      <c r="A345" s="76" t="str">
        <f>IFERROR(IF(C345&lt;&gt;"",A344+1,""),MAX($A$10:A344)+1)</f>
        <v/>
      </c>
      <c r="P345" s="67"/>
      <c r="Q345" s="67"/>
    </row>
    <row r="346" spans="1:17" x14ac:dyDescent="0.25">
      <c r="A346" s="76" t="str">
        <f>IFERROR(IF(C346&lt;&gt;"",A345+1,""),MAX($A$10:A345)+1)</f>
        <v/>
      </c>
      <c r="P346" s="67"/>
      <c r="Q346" s="67"/>
    </row>
    <row r="347" spans="1:17" x14ac:dyDescent="0.25">
      <c r="A347" s="76" t="str">
        <f>IFERROR(IF(C347&lt;&gt;"",A346+1,""),MAX($A$10:A346)+1)</f>
        <v/>
      </c>
      <c r="P347" s="67"/>
      <c r="Q347" s="67"/>
    </row>
    <row r="348" spans="1:17" x14ac:dyDescent="0.25">
      <c r="A348" s="76" t="str">
        <f>IFERROR(IF(C348&lt;&gt;"",A347+1,""),MAX($A$10:A347)+1)</f>
        <v/>
      </c>
      <c r="P348" s="67"/>
      <c r="Q348" s="67"/>
    </row>
    <row r="349" spans="1:17" x14ac:dyDescent="0.25">
      <c r="A349" s="76" t="str">
        <f>IFERROR(IF(C349&lt;&gt;"",A348+1,""),MAX($A$10:A348)+1)</f>
        <v/>
      </c>
      <c r="P349" s="67"/>
      <c r="Q349" s="67"/>
    </row>
    <row r="350" spans="1:17" x14ac:dyDescent="0.25">
      <c r="A350" s="76" t="str">
        <f>IFERROR(IF(C350&lt;&gt;"",A349+1,""),MAX($A$10:A349)+1)</f>
        <v/>
      </c>
      <c r="P350" s="67"/>
      <c r="Q350" s="67"/>
    </row>
    <row r="351" spans="1:17" x14ac:dyDescent="0.25">
      <c r="A351" s="76" t="str">
        <f>IFERROR(IF(C351&lt;&gt;"",A350+1,""),MAX($A$10:A350)+1)</f>
        <v/>
      </c>
      <c r="P351" s="67"/>
      <c r="Q351" s="67"/>
    </row>
    <row r="352" spans="1:17" x14ac:dyDescent="0.25">
      <c r="A352" s="76" t="str">
        <f>IFERROR(IF(C352&lt;&gt;"",A351+1,""),MAX($A$10:A351)+1)</f>
        <v/>
      </c>
      <c r="P352" s="67"/>
      <c r="Q352" s="67"/>
    </row>
    <row r="353" spans="1:17" x14ac:dyDescent="0.25">
      <c r="A353" s="76" t="str">
        <f>IFERROR(IF(C353&lt;&gt;"",A352+1,""),MAX($A$10:A352)+1)</f>
        <v/>
      </c>
      <c r="P353" s="67"/>
      <c r="Q353" s="67"/>
    </row>
    <row r="354" spans="1:17" x14ac:dyDescent="0.25">
      <c r="A354" s="76" t="str">
        <f>IFERROR(IF(C354&lt;&gt;"",A353+1,""),MAX($A$10:A353)+1)</f>
        <v/>
      </c>
      <c r="P354" s="67"/>
      <c r="Q354" s="67"/>
    </row>
    <row r="355" spans="1:17" x14ac:dyDescent="0.25">
      <c r="A355" s="76" t="str">
        <f>IFERROR(IF(C355&lt;&gt;"",A354+1,""),MAX($A$10:A354)+1)</f>
        <v/>
      </c>
      <c r="P355" s="67"/>
      <c r="Q355" s="67"/>
    </row>
    <row r="356" spans="1:17" x14ac:dyDescent="0.25">
      <c r="A356" s="76" t="str">
        <f>IFERROR(IF(C356&lt;&gt;"",A355+1,""),MAX($A$10:A355)+1)</f>
        <v/>
      </c>
      <c r="P356" s="67"/>
      <c r="Q356" s="67"/>
    </row>
    <row r="357" spans="1:17" x14ac:dyDescent="0.25">
      <c r="A357" s="76" t="str">
        <f>IFERROR(IF(C357&lt;&gt;"",A356+1,""),MAX($A$10:A356)+1)</f>
        <v/>
      </c>
      <c r="P357" s="67"/>
      <c r="Q357" s="67"/>
    </row>
    <row r="358" spans="1:17" x14ac:dyDescent="0.25">
      <c r="A358" s="76" t="str">
        <f>IFERROR(IF(C358&lt;&gt;"",A357+1,""),MAX($A$10:A357)+1)</f>
        <v/>
      </c>
      <c r="P358" s="67"/>
      <c r="Q358" s="67"/>
    </row>
    <row r="359" spans="1:17" x14ac:dyDescent="0.25">
      <c r="A359" s="76" t="str">
        <f>IFERROR(IF(C359&lt;&gt;"",A358+1,""),MAX($A$10:A358)+1)</f>
        <v/>
      </c>
      <c r="P359" s="67"/>
      <c r="Q359" s="67"/>
    </row>
    <row r="360" spans="1:17" x14ac:dyDescent="0.25">
      <c r="A360" s="76" t="str">
        <f>IFERROR(IF(C360&lt;&gt;"",A359+1,""),MAX($A$10:A359)+1)</f>
        <v/>
      </c>
      <c r="P360" s="67"/>
      <c r="Q360" s="67"/>
    </row>
    <row r="361" spans="1:17" x14ac:dyDescent="0.25">
      <c r="A361" s="76" t="str">
        <f>IFERROR(IF(C361&lt;&gt;"",A360+1,""),MAX($A$10:A360)+1)</f>
        <v/>
      </c>
      <c r="P361" s="67"/>
      <c r="Q361" s="67"/>
    </row>
    <row r="362" spans="1:17" x14ac:dyDescent="0.25">
      <c r="A362" s="76" t="str">
        <f>IFERROR(IF(C362&lt;&gt;"",A361+1,""),MAX($A$10:A361)+1)</f>
        <v/>
      </c>
      <c r="P362" s="67"/>
      <c r="Q362" s="67"/>
    </row>
    <row r="363" spans="1:17" x14ac:dyDescent="0.25">
      <c r="A363" s="76" t="str">
        <f>IFERROR(IF(C363&lt;&gt;"",A362+1,""),MAX($A$10:A362)+1)</f>
        <v/>
      </c>
      <c r="P363" s="67"/>
      <c r="Q363" s="67"/>
    </row>
    <row r="364" spans="1:17" x14ac:dyDescent="0.25">
      <c r="A364" s="76" t="str">
        <f>IFERROR(IF(C364&lt;&gt;"",A363+1,""),MAX($A$10:A363)+1)</f>
        <v/>
      </c>
      <c r="P364" s="67"/>
      <c r="Q364" s="67"/>
    </row>
    <row r="365" spans="1:17" x14ac:dyDescent="0.25">
      <c r="A365" s="76" t="str">
        <f>IFERROR(IF(C365&lt;&gt;"",A364+1,""),MAX($A$10:A364)+1)</f>
        <v/>
      </c>
      <c r="P365" s="67"/>
      <c r="Q365" s="67"/>
    </row>
    <row r="366" spans="1:17" x14ac:dyDescent="0.25">
      <c r="A366" s="76" t="str">
        <f>IFERROR(IF(C366&lt;&gt;"",A365+1,""),MAX($A$10:A365)+1)</f>
        <v/>
      </c>
      <c r="P366" s="67"/>
      <c r="Q366" s="67"/>
    </row>
    <row r="367" spans="1:17" x14ac:dyDescent="0.25">
      <c r="A367" s="76" t="str">
        <f>IFERROR(IF(C367&lt;&gt;"",A366+1,""),MAX($A$10:A366)+1)</f>
        <v/>
      </c>
    </row>
    <row r="368" spans="1:17" x14ac:dyDescent="0.25">
      <c r="A368" s="76" t="str">
        <f>IFERROR(IF(C368&lt;&gt;"",A367+1,""),MAX($A$10:A367)+1)</f>
        <v/>
      </c>
    </row>
    <row r="369" spans="1:1" x14ac:dyDescent="0.25">
      <c r="A369" s="76" t="str">
        <f>IFERROR(IF(C369&lt;&gt;"",A368+1,""),MAX($A$10:A368)+1)</f>
        <v/>
      </c>
    </row>
    <row r="370" spans="1:1" x14ac:dyDescent="0.25">
      <c r="A370" s="76" t="str">
        <f>IFERROR(IF(C370&lt;&gt;"",A369+1,""),MAX($A$10:A369)+1)</f>
        <v/>
      </c>
    </row>
    <row r="371" spans="1:1" x14ac:dyDescent="0.25">
      <c r="A371" s="76" t="str">
        <f>IFERROR(IF(C371&lt;&gt;"",A370+1,""),MAX($A$10:A370)+1)</f>
        <v/>
      </c>
    </row>
    <row r="372" spans="1:1" x14ac:dyDescent="0.25">
      <c r="A372" s="76" t="str">
        <f>IFERROR(IF(C372&lt;&gt;"",A371+1,""),MAX($A$10:A371)+1)</f>
        <v/>
      </c>
    </row>
    <row r="373" spans="1:1" x14ac:dyDescent="0.25">
      <c r="A373" s="76" t="str">
        <f>IFERROR(IF(C373&lt;&gt;"",A372+1,""),MAX($A$10:A372)+1)</f>
        <v/>
      </c>
    </row>
    <row r="374" spans="1:1" x14ac:dyDescent="0.25">
      <c r="A374" s="76" t="str">
        <f>IFERROR(IF(C374&lt;&gt;"",A373+1,""),MAX($A$10:A373)+1)</f>
        <v/>
      </c>
    </row>
    <row r="375" spans="1:1" x14ac:dyDescent="0.25">
      <c r="A375" s="76" t="str">
        <f>IFERROR(IF(C375&lt;&gt;"",A374+1,""),MAX($A$10:A374)+1)</f>
        <v/>
      </c>
    </row>
    <row r="376" spans="1:1" x14ac:dyDescent="0.25">
      <c r="A376" s="76" t="str">
        <f>IFERROR(IF(C376&lt;&gt;"",A375+1,""),MAX($A$10:A375)+1)</f>
        <v/>
      </c>
    </row>
    <row r="377" spans="1:1" x14ac:dyDescent="0.25">
      <c r="A377" s="76" t="str">
        <f>IFERROR(IF(C377&lt;&gt;"",A376+1,""),MAX($A$10:A376)+1)</f>
        <v/>
      </c>
    </row>
    <row r="378" spans="1:1" x14ac:dyDescent="0.25">
      <c r="A378" s="76" t="str">
        <f>IFERROR(IF(C378&lt;&gt;"",A377+1,""),MAX($A$10:A377)+1)</f>
        <v/>
      </c>
    </row>
    <row r="379" spans="1:1" x14ac:dyDescent="0.25">
      <c r="A379" s="76" t="str">
        <f>IFERROR(IF(C379&lt;&gt;"",A378+1,""),MAX($A$10:A378)+1)</f>
        <v/>
      </c>
    </row>
    <row r="380" spans="1:1" x14ac:dyDescent="0.25">
      <c r="A380" s="76" t="str">
        <f>IFERROR(IF(C380&lt;&gt;"",A379+1,""),MAX($A$10:A379)+1)</f>
        <v/>
      </c>
    </row>
    <row r="381" spans="1:1" x14ac:dyDescent="0.25">
      <c r="A381" s="76" t="str">
        <f>IFERROR(IF(C381&lt;&gt;"",A380+1,""),MAX($A$10:A380)+1)</f>
        <v/>
      </c>
    </row>
    <row r="382" spans="1:1" x14ac:dyDescent="0.25">
      <c r="A382" s="76" t="str">
        <f>IFERROR(IF(C382&lt;&gt;"",A381+1,""),MAX($A$10:A381)+1)</f>
        <v/>
      </c>
    </row>
    <row r="383" spans="1:1" x14ac:dyDescent="0.25">
      <c r="A383" s="76" t="str">
        <f>IFERROR(IF(C383&lt;&gt;"",A382+1,""),MAX($A$10:A382)+1)</f>
        <v/>
      </c>
    </row>
    <row r="384" spans="1:1" x14ac:dyDescent="0.25">
      <c r="A384" s="76" t="str">
        <f>IFERROR(IF(C384&lt;&gt;"",A383+1,""),MAX($A$10:A383)+1)</f>
        <v/>
      </c>
    </row>
    <row r="385" spans="1:1" x14ac:dyDescent="0.25">
      <c r="A385" s="76" t="str">
        <f>IFERROR(IF(C385&lt;&gt;"",A384+1,""),MAX($A$10:A384)+1)</f>
        <v/>
      </c>
    </row>
    <row r="386" spans="1:1" x14ac:dyDescent="0.25">
      <c r="A386" s="76" t="str">
        <f>IFERROR(IF(C386&lt;&gt;"",A385+1,""),MAX($A$10:A385)+1)</f>
        <v/>
      </c>
    </row>
    <row r="387" spans="1:1" x14ac:dyDescent="0.25">
      <c r="A387" s="76" t="str">
        <f>IFERROR(IF(C387&lt;&gt;"",A386+1,""),MAX($A$10:A386)+1)</f>
        <v/>
      </c>
    </row>
    <row r="388" spans="1:1" x14ac:dyDescent="0.25">
      <c r="A388" s="76" t="str">
        <f>IFERROR(IF(C388&lt;&gt;"",A387+1,""),MAX($A$10:A387)+1)</f>
        <v/>
      </c>
    </row>
    <row r="389" spans="1:1" x14ac:dyDescent="0.25">
      <c r="A389" s="76" t="str">
        <f>IFERROR(IF(C389&lt;&gt;"",A388+1,""),MAX($A$10:A388)+1)</f>
        <v/>
      </c>
    </row>
    <row r="390" spans="1:1" x14ac:dyDescent="0.25">
      <c r="A390" s="76" t="str">
        <f>IFERROR(IF(C390&lt;&gt;"",A389+1,""),MAX($A$10:A389)+1)</f>
        <v/>
      </c>
    </row>
    <row r="391" spans="1:1" x14ac:dyDescent="0.25">
      <c r="A391" s="76" t="str">
        <f>IFERROR(IF(C391&lt;&gt;"",A390+1,""),MAX($A$10:A390)+1)</f>
        <v/>
      </c>
    </row>
    <row r="392" spans="1:1" x14ac:dyDescent="0.25">
      <c r="A392" s="76" t="str">
        <f>IFERROR(IF(C392&lt;&gt;"",A391+1,""),MAX($A$10:A391)+1)</f>
        <v/>
      </c>
    </row>
    <row r="393" spans="1:1" x14ac:dyDescent="0.25">
      <c r="A393" s="76" t="str">
        <f>IFERROR(IF(C393&lt;&gt;"",A392+1,""),MAX($A$10:A392)+1)</f>
        <v/>
      </c>
    </row>
    <row r="394" spans="1:1" x14ac:dyDescent="0.25">
      <c r="A394" s="76" t="str">
        <f>IFERROR(IF(C394&lt;&gt;"",A393+1,""),MAX($A$10:A393)+1)</f>
        <v/>
      </c>
    </row>
    <row r="395" spans="1:1" x14ac:dyDescent="0.25">
      <c r="A395" s="76" t="str">
        <f>IFERROR(IF(C395&lt;&gt;"",A394+1,""),MAX($A$10:A394)+1)</f>
        <v/>
      </c>
    </row>
    <row r="396" spans="1:1" x14ac:dyDescent="0.25">
      <c r="A396" s="76" t="str">
        <f>IFERROR(IF(C396&lt;&gt;"",A395+1,""),MAX($A$10:A395)+1)</f>
        <v/>
      </c>
    </row>
    <row r="397" spans="1:1" x14ac:dyDescent="0.25">
      <c r="A397" s="76" t="str">
        <f>IFERROR(IF(C397&lt;&gt;"",A396+1,""),MAX($A$10:A396)+1)</f>
        <v/>
      </c>
    </row>
    <row r="398" spans="1:1" x14ac:dyDescent="0.25">
      <c r="A398" s="76" t="str">
        <f>IFERROR(IF(C398&lt;&gt;"",A397+1,""),MAX($A$10:A397)+1)</f>
        <v/>
      </c>
    </row>
    <row r="399" spans="1:1" x14ac:dyDescent="0.25">
      <c r="A399" s="76" t="str">
        <f>IFERROR(IF(C399&lt;&gt;"",A398+1,""),MAX($A$10:A398)+1)</f>
        <v/>
      </c>
    </row>
    <row r="400" spans="1:1" x14ac:dyDescent="0.25">
      <c r="A400" s="76" t="str">
        <f>IFERROR(IF(C400&lt;&gt;"",A399+1,""),MAX($A$10:A399)+1)</f>
        <v/>
      </c>
    </row>
    <row r="401" spans="1:1" x14ac:dyDescent="0.25">
      <c r="A401" s="76" t="str">
        <f>IFERROR(IF(C401&lt;&gt;"",A400+1,""),MAX($A$10:A400)+1)</f>
        <v/>
      </c>
    </row>
    <row r="402" spans="1:1" x14ac:dyDescent="0.25">
      <c r="A402" s="76" t="str">
        <f>IFERROR(IF(C402&lt;&gt;"",A401+1,""),MAX($A$10:A401)+1)</f>
        <v/>
      </c>
    </row>
    <row r="403" spans="1:1" x14ac:dyDescent="0.25">
      <c r="A403" s="76" t="str">
        <f>IFERROR(IF(C403&lt;&gt;"",A402+1,""),MAX($A$10:A402)+1)</f>
        <v/>
      </c>
    </row>
    <row r="404" spans="1:1" x14ac:dyDescent="0.25">
      <c r="A404" s="76" t="str">
        <f>IFERROR(IF(C404&lt;&gt;"",A403+1,""),MAX($A$10:A403)+1)</f>
        <v/>
      </c>
    </row>
    <row r="405" spans="1:1" x14ac:dyDescent="0.25">
      <c r="A405" s="76" t="str">
        <f>IFERROR(IF(C405&lt;&gt;"",A404+1,""),MAX($A$10:A404)+1)</f>
        <v/>
      </c>
    </row>
    <row r="406" spans="1:1" x14ac:dyDescent="0.25">
      <c r="A406" s="76" t="str">
        <f>IFERROR(IF(C406&lt;&gt;"",A405+1,""),MAX($A$10:A405)+1)</f>
        <v/>
      </c>
    </row>
    <row r="407" spans="1:1" x14ac:dyDescent="0.25">
      <c r="A407" s="76" t="str">
        <f>IFERROR(IF(C407&lt;&gt;"",A406+1,""),MAX($A$10:A406)+1)</f>
        <v/>
      </c>
    </row>
    <row r="408" spans="1:1" x14ac:dyDescent="0.25">
      <c r="A408" s="76" t="str">
        <f>IFERROR(IF(C408&lt;&gt;"",A407+1,""),MAX($A$10:A407)+1)</f>
        <v/>
      </c>
    </row>
    <row r="409" spans="1:1" x14ac:dyDescent="0.25">
      <c r="A409" s="76" t="str">
        <f>IFERROR(IF(C409&lt;&gt;"",A408+1,""),MAX($A$10:A408)+1)</f>
        <v/>
      </c>
    </row>
    <row r="410" spans="1:1" x14ac:dyDescent="0.25">
      <c r="A410" s="76" t="str">
        <f>IFERROR(IF(C410&lt;&gt;"",A409+1,""),MAX($A$10:A409)+1)</f>
        <v/>
      </c>
    </row>
    <row r="411" spans="1:1" x14ac:dyDescent="0.25">
      <c r="A411" s="76" t="str">
        <f>IFERROR(IF(C411&lt;&gt;"",A410+1,""),MAX($A$10:A410)+1)</f>
        <v/>
      </c>
    </row>
    <row r="412" spans="1:1" x14ac:dyDescent="0.25">
      <c r="A412" s="76" t="str">
        <f>IFERROR(IF(C412&lt;&gt;"",A411+1,""),MAX($A$10:A411)+1)</f>
        <v/>
      </c>
    </row>
    <row r="413" spans="1:1" x14ac:dyDescent="0.25">
      <c r="A413" s="76" t="str">
        <f>IFERROR(IF(C413&lt;&gt;"",A412+1,""),MAX($A$10:A412)+1)</f>
        <v/>
      </c>
    </row>
    <row r="414" spans="1:1" x14ac:dyDescent="0.25">
      <c r="A414" s="76" t="str">
        <f>IFERROR(IF(C414&lt;&gt;"",A413+1,""),MAX($A$10:A413)+1)</f>
        <v/>
      </c>
    </row>
    <row r="415" spans="1:1" x14ac:dyDescent="0.25">
      <c r="A415" s="76" t="str">
        <f>IFERROR(IF(C415&lt;&gt;"",A414+1,""),MAX($A$10:A414)+1)</f>
        <v/>
      </c>
    </row>
    <row r="416" spans="1:1" x14ac:dyDescent="0.25">
      <c r="A416" s="76" t="str">
        <f>IFERROR(IF(C416&lt;&gt;"",A415+1,""),MAX($A$10:A415)+1)</f>
        <v/>
      </c>
    </row>
    <row r="417" spans="1:1" x14ac:dyDescent="0.25">
      <c r="A417" s="76" t="str">
        <f>IFERROR(IF(C417&lt;&gt;"",A416+1,""),MAX($A$10:A416)+1)</f>
        <v/>
      </c>
    </row>
    <row r="418" spans="1:1" x14ac:dyDescent="0.25">
      <c r="A418" s="76" t="str">
        <f>IFERROR(IF(C418&lt;&gt;"",A417+1,""),MAX($A$10:A417)+1)</f>
        <v/>
      </c>
    </row>
    <row r="419" spans="1:1" x14ac:dyDescent="0.25">
      <c r="A419" s="76" t="str">
        <f>IFERROR(IF(C419&lt;&gt;"",A418+1,""),MAX($A$10:A418)+1)</f>
        <v/>
      </c>
    </row>
    <row r="420" spans="1:1" x14ac:dyDescent="0.25">
      <c r="A420" s="76" t="str">
        <f>IFERROR(IF(C420&lt;&gt;"",A419+1,""),MAX($A$10:A419)+1)</f>
        <v/>
      </c>
    </row>
    <row r="421" spans="1:1" x14ac:dyDescent="0.25">
      <c r="A421" s="76" t="str">
        <f>IFERROR(IF(C421&lt;&gt;"",A420+1,""),MAX($A$10:A420)+1)</f>
        <v/>
      </c>
    </row>
    <row r="422" spans="1:1" x14ac:dyDescent="0.25">
      <c r="A422" s="76" t="str">
        <f>IFERROR(IF(C422&lt;&gt;"",A421+1,""),MAX($A$10:A421)+1)</f>
        <v/>
      </c>
    </row>
    <row r="423" spans="1:1" x14ac:dyDescent="0.25">
      <c r="A423" s="76" t="str">
        <f>IFERROR(IF(C423&lt;&gt;"",A422+1,""),MAX($A$10:A422)+1)</f>
        <v/>
      </c>
    </row>
    <row r="424" spans="1:1" x14ac:dyDescent="0.25">
      <c r="A424" s="76" t="str">
        <f>IFERROR(IF(C424&lt;&gt;"",A423+1,""),MAX($A$10:A423)+1)</f>
        <v/>
      </c>
    </row>
    <row r="425" spans="1:1" x14ac:dyDescent="0.25">
      <c r="A425" s="76" t="str">
        <f>IFERROR(IF(C425&lt;&gt;"",A424+1,""),MAX($A$10:A424)+1)</f>
        <v/>
      </c>
    </row>
    <row r="426" spans="1:1" x14ac:dyDescent="0.25">
      <c r="A426" s="76" t="str">
        <f>IFERROR(IF(C426&lt;&gt;"",A425+1,""),MAX($A$10:A425)+1)</f>
        <v/>
      </c>
    </row>
    <row r="427" spans="1:1" x14ac:dyDescent="0.25">
      <c r="A427" s="76" t="str">
        <f>IFERROR(IF(C427&lt;&gt;"",A426+1,""),MAX($A$10:A426)+1)</f>
        <v/>
      </c>
    </row>
    <row r="428" spans="1:1" x14ac:dyDescent="0.25">
      <c r="A428" s="76" t="str">
        <f>IFERROR(IF(C428&lt;&gt;"",A427+1,""),MAX($A$10:A427)+1)</f>
        <v/>
      </c>
    </row>
    <row r="429" spans="1:1" x14ac:dyDescent="0.25">
      <c r="A429" s="76" t="str">
        <f>IFERROR(IF(C429&lt;&gt;"",A428+1,""),MAX($A$10:A428)+1)</f>
        <v/>
      </c>
    </row>
    <row r="430" spans="1:1" x14ac:dyDescent="0.25">
      <c r="A430" s="76" t="str">
        <f>IFERROR(IF(C430&lt;&gt;"",A429+1,""),MAX($A$10:A429)+1)</f>
        <v/>
      </c>
    </row>
    <row r="431" spans="1:1" x14ac:dyDescent="0.25">
      <c r="A431" s="76" t="str">
        <f>IFERROR(IF(C431&lt;&gt;"",A430+1,""),MAX($A$10:A430)+1)</f>
        <v/>
      </c>
    </row>
    <row r="432" spans="1:1" x14ac:dyDescent="0.25">
      <c r="A432" s="76" t="str">
        <f>IFERROR(IF(C432&lt;&gt;"",A431+1,""),MAX($A$10:A431)+1)</f>
        <v/>
      </c>
    </row>
    <row r="433" spans="1:1" x14ac:dyDescent="0.25">
      <c r="A433" s="76" t="str">
        <f>IFERROR(IF(C433&lt;&gt;"",A432+1,""),MAX($A$10:A432)+1)</f>
        <v/>
      </c>
    </row>
    <row r="434" spans="1:1" x14ac:dyDescent="0.25">
      <c r="A434" s="76" t="str">
        <f>IFERROR(IF(C434&lt;&gt;"",A433+1,""),MAX($A$10:A433)+1)</f>
        <v/>
      </c>
    </row>
    <row r="435" spans="1:1" x14ac:dyDescent="0.25">
      <c r="A435" s="76" t="str">
        <f>IFERROR(IF(C435&lt;&gt;"",A434+1,""),MAX($A$10:A434)+1)</f>
        <v/>
      </c>
    </row>
    <row r="436" spans="1:1" x14ac:dyDescent="0.25">
      <c r="A436" s="76" t="str">
        <f>IFERROR(IF(C436&lt;&gt;"",A435+1,""),MAX($A$10:A435)+1)</f>
        <v/>
      </c>
    </row>
    <row r="437" spans="1:1" x14ac:dyDescent="0.25">
      <c r="A437" s="76" t="str">
        <f>IFERROR(IF(C437&lt;&gt;"",A436+1,""),MAX($A$10:A436)+1)</f>
        <v/>
      </c>
    </row>
    <row r="438" spans="1:1" x14ac:dyDescent="0.25">
      <c r="A438" s="76" t="str">
        <f>IFERROR(IF(C438&lt;&gt;"",A437+1,""),MAX($A$10:A437)+1)</f>
        <v/>
      </c>
    </row>
    <row r="439" spans="1:1" x14ac:dyDescent="0.25">
      <c r="A439" s="76" t="str">
        <f>IFERROR(IF(C439&lt;&gt;"",A438+1,""),MAX($A$10:A438)+1)</f>
        <v/>
      </c>
    </row>
    <row r="440" spans="1:1" x14ac:dyDescent="0.25">
      <c r="A440" s="76" t="str">
        <f>IFERROR(IF(C440&lt;&gt;"",A439+1,""),MAX($A$10:A439)+1)</f>
        <v/>
      </c>
    </row>
    <row r="441" spans="1:1" x14ac:dyDescent="0.25">
      <c r="A441" s="76" t="str">
        <f>IFERROR(IF(C441&lt;&gt;"",A440+1,""),MAX($A$10:A440)+1)</f>
        <v/>
      </c>
    </row>
    <row r="442" spans="1:1" x14ac:dyDescent="0.25">
      <c r="A442" s="76" t="str">
        <f>IFERROR(IF(C442&lt;&gt;"",A441+1,""),MAX($A$10:A441)+1)</f>
        <v/>
      </c>
    </row>
    <row r="443" spans="1:1" x14ac:dyDescent="0.25">
      <c r="A443" s="76" t="str">
        <f>IFERROR(IF(C443&lt;&gt;"",A442+1,""),MAX($A$10:A442)+1)</f>
        <v/>
      </c>
    </row>
    <row r="444" spans="1:1" x14ac:dyDescent="0.25">
      <c r="A444" s="76" t="str">
        <f>IFERROR(IF(C444&lt;&gt;"",A443+1,""),MAX($A$10:A443)+1)</f>
        <v/>
      </c>
    </row>
    <row r="445" spans="1:1" x14ac:dyDescent="0.25">
      <c r="A445" s="76" t="str">
        <f>IFERROR(IF(C445&lt;&gt;"",A444+1,""),MAX($A$10:A444)+1)</f>
        <v/>
      </c>
    </row>
    <row r="446" spans="1:1" x14ac:dyDescent="0.25">
      <c r="A446" s="76" t="str">
        <f>IFERROR(IF(C446&lt;&gt;"",A445+1,""),MAX($A$10:A445)+1)</f>
        <v/>
      </c>
    </row>
    <row r="447" spans="1:1" x14ac:dyDescent="0.25">
      <c r="A447" s="76" t="str">
        <f>IFERROR(IF(C447&lt;&gt;"",A446+1,""),MAX($A$10:A446)+1)</f>
        <v/>
      </c>
    </row>
    <row r="448" spans="1:1" x14ac:dyDescent="0.25">
      <c r="A448" s="76" t="str">
        <f>IFERROR(IF(C448&lt;&gt;"",A447+1,""),MAX($A$10:A447)+1)</f>
        <v/>
      </c>
    </row>
    <row r="449" spans="1:1" x14ac:dyDescent="0.25">
      <c r="A449" s="76" t="str">
        <f>IFERROR(IF(C449&lt;&gt;"",A448+1,""),MAX($A$10:A448)+1)</f>
        <v/>
      </c>
    </row>
    <row r="450" spans="1:1" x14ac:dyDescent="0.25">
      <c r="A450" s="76" t="str">
        <f>IFERROR(IF(C450&lt;&gt;"",A449+1,""),MAX($A$10:A449)+1)</f>
        <v/>
      </c>
    </row>
    <row r="451" spans="1:1" x14ac:dyDescent="0.25">
      <c r="A451" s="76" t="str">
        <f>IFERROR(IF(C451&lt;&gt;"",A450+1,""),MAX($A$10:A450)+1)</f>
        <v/>
      </c>
    </row>
    <row r="452" spans="1:1" x14ac:dyDescent="0.25">
      <c r="A452" s="76" t="str">
        <f>IFERROR(IF(C452&lt;&gt;"",A451+1,""),MAX($A$10:A451)+1)</f>
        <v/>
      </c>
    </row>
    <row r="453" spans="1:1" x14ac:dyDescent="0.25">
      <c r="A453" s="76" t="str">
        <f>IFERROR(IF(C453&lt;&gt;"",A452+1,""),MAX($A$10:A452)+1)</f>
        <v/>
      </c>
    </row>
    <row r="454" spans="1:1" x14ac:dyDescent="0.25">
      <c r="A454" s="76" t="str">
        <f>IFERROR(IF(C454&lt;&gt;"",A453+1,""),MAX($A$10:A453)+1)</f>
        <v/>
      </c>
    </row>
    <row r="455" spans="1:1" x14ac:dyDescent="0.25">
      <c r="A455" s="76" t="str">
        <f>IFERROR(IF(C455&lt;&gt;"",A454+1,""),MAX($A$10:A454)+1)</f>
        <v/>
      </c>
    </row>
    <row r="456" spans="1:1" x14ac:dyDescent="0.25">
      <c r="A456" s="76" t="str">
        <f>IFERROR(IF(C456&lt;&gt;"",A455+1,""),MAX($A$10:A455)+1)</f>
        <v/>
      </c>
    </row>
    <row r="457" spans="1:1" x14ac:dyDescent="0.25">
      <c r="A457" s="76" t="str">
        <f>IFERROR(IF(C457&lt;&gt;"",A456+1,""),MAX($A$10:A456)+1)</f>
        <v/>
      </c>
    </row>
    <row r="458" spans="1:1" x14ac:dyDescent="0.25">
      <c r="A458" s="76" t="str">
        <f>IFERROR(IF(C458&lt;&gt;"",A457+1,""),MAX($A$10:A457)+1)</f>
        <v/>
      </c>
    </row>
    <row r="459" spans="1:1" x14ac:dyDescent="0.25">
      <c r="A459" s="76" t="str">
        <f>IFERROR(IF(C459&lt;&gt;"",A458+1,""),MAX($A$10:A458)+1)</f>
        <v/>
      </c>
    </row>
    <row r="460" spans="1:1" x14ac:dyDescent="0.25">
      <c r="A460" s="76" t="str">
        <f>IFERROR(IF(C460&lt;&gt;"",A459+1,""),MAX($A$10:A459)+1)</f>
        <v/>
      </c>
    </row>
    <row r="461" spans="1:1" x14ac:dyDescent="0.25">
      <c r="A461" s="76" t="str">
        <f>IFERROR(IF(C461&lt;&gt;"",A460+1,""),MAX($A$10:A460)+1)</f>
        <v/>
      </c>
    </row>
    <row r="462" spans="1:1" x14ac:dyDescent="0.25">
      <c r="A462" s="76" t="str">
        <f>IFERROR(IF(C462&lt;&gt;"",A461+1,""),MAX($A$10:A461)+1)</f>
        <v/>
      </c>
    </row>
    <row r="463" spans="1:1" x14ac:dyDescent="0.25">
      <c r="A463" s="76" t="str">
        <f>IFERROR(IF(C463&lt;&gt;"",A462+1,""),MAX($A$10:A462)+1)</f>
        <v/>
      </c>
    </row>
    <row r="464" spans="1:1" x14ac:dyDescent="0.25">
      <c r="A464" s="76" t="str">
        <f>IFERROR(IF(C464&lt;&gt;"",A463+1,""),MAX($A$10:A463)+1)</f>
        <v/>
      </c>
    </row>
    <row r="465" spans="1:1" x14ac:dyDescent="0.25">
      <c r="A465" s="76" t="str">
        <f>IFERROR(IF(C465&lt;&gt;"",A464+1,""),MAX($A$10:A464)+1)</f>
        <v/>
      </c>
    </row>
    <row r="466" spans="1:1" x14ac:dyDescent="0.25">
      <c r="A466" s="76" t="str">
        <f>IFERROR(IF(C466&lt;&gt;"",A465+1,""),MAX($A$10:A465)+1)</f>
        <v/>
      </c>
    </row>
    <row r="467" spans="1:1" x14ac:dyDescent="0.25">
      <c r="A467" s="76" t="str">
        <f>IFERROR(IF(C467&lt;&gt;"",A466+1,""),MAX($A$10:A466)+1)</f>
        <v/>
      </c>
    </row>
    <row r="468" spans="1:1" x14ac:dyDescent="0.25">
      <c r="A468" s="76" t="str">
        <f>IFERROR(IF(C468&lt;&gt;"",A467+1,""),MAX($A$10:A467)+1)</f>
        <v/>
      </c>
    </row>
    <row r="469" spans="1:1" x14ac:dyDescent="0.25">
      <c r="A469" s="76" t="str">
        <f>IFERROR(IF(C469&lt;&gt;"",A468+1,""),MAX($A$10:A468)+1)</f>
        <v/>
      </c>
    </row>
    <row r="470" spans="1:1" x14ac:dyDescent="0.25">
      <c r="A470" s="76" t="str">
        <f>IFERROR(IF(C470&lt;&gt;"",A469+1,""),MAX($A$10:A469)+1)</f>
        <v/>
      </c>
    </row>
    <row r="471" spans="1:1" x14ac:dyDescent="0.25">
      <c r="A471" s="76" t="str">
        <f>IFERROR(IF(C471&lt;&gt;"",A470+1,""),MAX($A$10:A470)+1)</f>
        <v/>
      </c>
    </row>
    <row r="472" spans="1:1" x14ac:dyDescent="0.25">
      <c r="A472" s="76" t="str">
        <f>IFERROR(IF(C472&lt;&gt;"",A471+1,""),MAX($A$10:A471)+1)</f>
        <v/>
      </c>
    </row>
    <row r="473" spans="1:1" x14ac:dyDescent="0.25">
      <c r="A473" s="76" t="str">
        <f>IFERROR(IF(C473&lt;&gt;"",A472+1,""),MAX($A$10:A472)+1)</f>
        <v/>
      </c>
    </row>
    <row r="474" spans="1:1" x14ac:dyDescent="0.25">
      <c r="A474" s="76" t="str">
        <f>IFERROR(IF(C474&lt;&gt;"",A473+1,""),MAX($A$10:A473)+1)</f>
        <v/>
      </c>
    </row>
    <row r="475" spans="1:1" x14ac:dyDescent="0.25">
      <c r="A475" s="76" t="str">
        <f>IFERROR(IF(C475&lt;&gt;"",A474+1,""),MAX($A$10:A474)+1)</f>
        <v/>
      </c>
    </row>
    <row r="476" spans="1:1" x14ac:dyDescent="0.25">
      <c r="A476" s="76" t="str">
        <f>IFERROR(IF(C476&lt;&gt;"",A475+1,""),MAX($A$10:A475)+1)</f>
        <v/>
      </c>
    </row>
    <row r="477" spans="1:1" x14ac:dyDescent="0.25">
      <c r="A477" s="76" t="str">
        <f>IFERROR(IF(C477&lt;&gt;"",A476+1,""),MAX($A$10:A476)+1)</f>
        <v/>
      </c>
    </row>
    <row r="478" spans="1:1" x14ac:dyDescent="0.25">
      <c r="A478" s="76" t="str">
        <f>IFERROR(IF(C478&lt;&gt;"",A477+1,""),MAX($A$10:A477)+1)</f>
        <v/>
      </c>
    </row>
    <row r="479" spans="1:1" x14ac:dyDescent="0.25">
      <c r="A479" s="76" t="str">
        <f>IFERROR(IF(C479&lt;&gt;"",A478+1,""),MAX($A$10:A478)+1)</f>
        <v/>
      </c>
    </row>
    <row r="480" spans="1:1" x14ac:dyDescent="0.25">
      <c r="A480" s="76" t="str">
        <f>IFERROR(IF(C480&lt;&gt;"",A479+1,""),MAX($A$10:A479)+1)</f>
        <v/>
      </c>
    </row>
    <row r="481" spans="1:1" x14ac:dyDescent="0.25">
      <c r="A481" s="76" t="str">
        <f>IFERROR(IF(C481&lt;&gt;"",A480+1,""),MAX($A$10:A480)+1)</f>
        <v/>
      </c>
    </row>
    <row r="482" spans="1:1" x14ac:dyDescent="0.25">
      <c r="A482" s="76" t="str">
        <f>IFERROR(IF(C482&lt;&gt;"",A481+1,""),MAX($A$10:A481)+1)</f>
        <v/>
      </c>
    </row>
    <row r="483" spans="1:1" x14ac:dyDescent="0.25">
      <c r="A483" s="76" t="str">
        <f>IFERROR(IF(C483&lt;&gt;"",A482+1,""),MAX($A$10:A482)+1)</f>
        <v/>
      </c>
    </row>
    <row r="484" spans="1:1" x14ac:dyDescent="0.25">
      <c r="A484" s="76" t="str">
        <f>IFERROR(IF(C484&lt;&gt;"",A483+1,""),MAX($A$10:A483)+1)</f>
        <v/>
      </c>
    </row>
    <row r="485" spans="1:1" x14ac:dyDescent="0.25">
      <c r="A485" s="76" t="str">
        <f>IFERROR(IF(C485&lt;&gt;"",A484+1,""),MAX($A$10:A484)+1)</f>
        <v/>
      </c>
    </row>
    <row r="486" spans="1:1" x14ac:dyDescent="0.25">
      <c r="A486" s="76" t="str">
        <f>IFERROR(IF(C486&lt;&gt;"",A485+1,""),MAX($A$10:A485)+1)</f>
        <v/>
      </c>
    </row>
    <row r="487" spans="1:1" x14ac:dyDescent="0.25">
      <c r="A487" s="76" t="str">
        <f>IFERROR(IF(C487&lt;&gt;"",A486+1,""),MAX($A$10:A486)+1)</f>
        <v/>
      </c>
    </row>
    <row r="488" spans="1:1" x14ac:dyDescent="0.25">
      <c r="A488" s="76" t="str">
        <f>IFERROR(IF(C488&lt;&gt;"",A487+1,""),MAX($A$10:A487)+1)</f>
        <v/>
      </c>
    </row>
    <row r="489" spans="1:1" x14ac:dyDescent="0.25">
      <c r="A489" s="76" t="str">
        <f>IFERROR(IF(C489&lt;&gt;"",A488+1,""),MAX($A$10:A488)+1)</f>
        <v/>
      </c>
    </row>
    <row r="490" spans="1:1" x14ac:dyDescent="0.25">
      <c r="A490" s="76" t="str">
        <f>IFERROR(IF(C490&lt;&gt;"",A489+1,""),MAX($A$10:A489)+1)</f>
        <v/>
      </c>
    </row>
    <row r="491" spans="1:1" x14ac:dyDescent="0.25">
      <c r="A491" s="76" t="str">
        <f>IFERROR(IF(C491&lt;&gt;"",A490+1,""),MAX($A$10:A490)+1)</f>
        <v/>
      </c>
    </row>
    <row r="492" spans="1:1" x14ac:dyDescent="0.25">
      <c r="A492" s="76" t="str">
        <f>IFERROR(IF(C492&lt;&gt;"",A491+1,""),MAX($A$10:A491)+1)</f>
        <v/>
      </c>
    </row>
    <row r="493" spans="1:1" x14ac:dyDescent="0.25">
      <c r="A493" s="76" t="str">
        <f>IFERROR(IF(C493&lt;&gt;"",A492+1,""),MAX($A$10:A492)+1)</f>
        <v/>
      </c>
    </row>
    <row r="494" spans="1:1" x14ac:dyDescent="0.25">
      <c r="A494" s="76" t="str">
        <f>IFERROR(IF(C494&lt;&gt;"",A493+1,""),MAX($A$10:A493)+1)</f>
        <v/>
      </c>
    </row>
    <row r="495" spans="1:1" x14ac:dyDescent="0.25">
      <c r="A495" s="76" t="str">
        <f>IFERROR(IF(C495&lt;&gt;"",A494+1,""),MAX($A$10:A494)+1)</f>
        <v/>
      </c>
    </row>
    <row r="496" spans="1:1" x14ac:dyDescent="0.25">
      <c r="A496" s="76" t="str">
        <f>IFERROR(IF(C496&lt;&gt;"",A495+1,""),MAX($A$10:A495)+1)</f>
        <v/>
      </c>
    </row>
    <row r="497" spans="1:1" x14ac:dyDescent="0.25">
      <c r="A497" s="76" t="str">
        <f>IFERROR(IF(C497&lt;&gt;"",A496+1,""),MAX($A$10:A496)+1)</f>
        <v/>
      </c>
    </row>
    <row r="498" spans="1:1" x14ac:dyDescent="0.25">
      <c r="A498" s="76" t="str">
        <f>IFERROR(IF(C498&lt;&gt;"",A497+1,""),MAX($A$10:A497)+1)</f>
        <v/>
      </c>
    </row>
    <row r="499" spans="1:1" x14ac:dyDescent="0.25">
      <c r="A499" s="76" t="str">
        <f>IFERROR(IF(C499&lt;&gt;"",A498+1,""),MAX($A$10:A498)+1)</f>
        <v/>
      </c>
    </row>
    <row r="500" spans="1:1" x14ac:dyDescent="0.25">
      <c r="A500" s="76" t="str">
        <f>IFERROR(IF(C500&lt;&gt;"",A499+1,""),MAX($A$10:A499)+1)</f>
        <v/>
      </c>
    </row>
    <row r="501" spans="1:1" x14ac:dyDescent="0.25">
      <c r="A501" s="76" t="str">
        <f>IFERROR(IF(C501&lt;&gt;"",A500+1,""),MAX($A$10:A500)+1)</f>
        <v/>
      </c>
    </row>
    <row r="502" spans="1:1" x14ac:dyDescent="0.25">
      <c r="A502" s="76" t="str">
        <f>IFERROR(IF(C502&lt;&gt;"",A501+1,""),MAX($A$10:A501)+1)</f>
        <v/>
      </c>
    </row>
    <row r="503" spans="1:1" x14ac:dyDescent="0.25">
      <c r="A503" s="76" t="str">
        <f>IFERROR(IF(C503&lt;&gt;"",A502+1,""),MAX($A$10:A502)+1)</f>
        <v/>
      </c>
    </row>
    <row r="504" spans="1:1" x14ac:dyDescent="0.25">
      <c r="A504" s="76" t="str">
        <f>IFERROR(IF(C504&lt;&gt;"",A503+1,""),MAX($A$10:A503)+1)</f>
        <v/>
      </c>
    </row>
    <row r="505" spans="1:1" x14ac:dyDescent="0.25">
      <c r="A505" s="76" t="str">
        <f>IFERROR(IF(C505&lt;&gt;"",A504+1,""),MAX($A$10:A504)+1)</f>
        <v/>
      </c>
    </row>
    <row r="506" spans="1:1" x14ac:dyDescent="0.25">
      <c r="A506" s="76" t="str">
        <f>IFERROR(IF(C506&lt;&gt;"",A505+1,""),MAX($A$10:A505)+1)</f>
        <v/>
      </c>
    </row>
    <row r="507" spans="1:1" x14ac:dyDescent="0.25">
      <c r="A507" s="76" t="str">
        <f>IFERROR(IF(C507&lt;&gt;"",A506+1,""),MAX($A$10:A506)+1)</f>
        <v/>
      </c>
    </row>
    <row r="508" spans="1:1" x14ac:dyDescent="0.25">
      <c r="A508" s="76" t="str">
        <f>IFERROR(IF(C508&lt;&gt;"",A507+1,""),MAX($A$10:A507)+1)</f>
        <v/>
      </c>
    </row>
    <row r="509" spans="1:1" x14ac:dyDescent="0.25">
      <c r="A509" s="76" t="str">
        <f>IFERROR(IF(C509&lt;&gt;"",A508+1,""),MAX($A$10:A508)+1)</f>
        <v/>
      </c>
    </row>
    <row r="510" spans="1:1" x14ac:dyDescent="0.25">
      <c r="A510" s="76" t="str">
        <f>IFERROR(IF(C510&lt;&gt;"",A509+1,""),MAX($A$10:A509)+1)</f>
        <v/>
      </c>
    </row>
    <row r="511" spans="1:1" x14ac:dyDescent="0.25">
      <c r="A511" s="76" t="str">
        <f>IFERROR(IF(C511&lt;&gt;"",A510+1,""),MAX($A$10:A510)+1)</f>
        <v/>
      </c>
    </row>
    <row r="512" spans="1:1" x14ac:dyDescent="0.25">
      <c r="A512" s="76" t="str">
        <f>IFERROR(IF(C512&lt;&gt;"",A511+1,""),MAX($A$10:A511)+1)</f>
        <v/>
      </c>
    </row>
    <row r="513" spans="1:1" x14ac:dyDescent="0.25">
      <c r="A513" s="76" t="str">
        <f>IFERROR(IF(C513&lt;&gt;"",A512+1,""),MAX($A$10:A512)+1)</f>
        <v/>
      </c>
    </row>
    <row r="514" spans="1:1" x14ac:dyDescent="0.25">
      <c r="A514" s="76" t="str">
        <f>IFERROR(IF(C514&lt;&gt;"",A513+1,""),MAX($A$10:A513)+1)</f>
        <v/>
      </c>
    </row>
    <row r="515" spans="1:1" x14ac:dyDescent="0.25">
      <c r="A515" s="76" t="str">
        <f>IFERROR(IF(C515&lt;&gt;"",A514+1,""),MAX($A$10:A514)+1)</f>
        <v/>
      </c>
    </row>
    <row r="516" spans="1:1" x14ac:dyDescent="0.25">
      <c r="A516" s="76" t="str">
        <f>IFERROR(IF(C516&lt;&gt;"",A515+1,""),MAX($A$10:A515)+1)</f>
        <v/>
      </c>
    </row>
    <row r="517" spans="1:1" x14ac:dyDescent="0.25">
      <c r="A517" s="76" t="str">
        <f>IFERROR(IF(C517&lt;&gt;"",A516+1,""),MAX($A$10:A516)+1)</f>
        <v/>
      </c>
    </row>
    <row r="518" spans="1:1" x14ac:dyDescent="0.25">
      <c r="A518" s="76" t="str">
        <f>IFERROR(IF(C518&lt;&gt;"",A517+1,""),MAX($A$10:A517)+1)</f>
        <v/>
      </c>
    </row>
    <row r="519" spans="1:1" x14ac:dyDescent="0.25">
      <c r="A519" s="76" t="str">
        <f>IFERROR(IF(C519&lt;&gt;"",A518+1,""),MAX($A$10:A518)+1)</f>
        <v/>
      </c>
    </row>
    <row r="520" spans="1:1" x14ac:dyDescent="0.25">
      <c r="A520" s="76" t="str">
        <f>IFERROR(IF(C520&lt;&gt;"",A519+1,""),MAX($A$10:A519)+1)</f>
        <v/>
      </c>
    </row>
    <row r="521" spans="1:1" x14ac:dyDescent="0.25">
      <c r="A521" s="76" t="str">
        <f>IFERROR(IF(C521&lt;&gt;"",A520+1,""),MAX($A$10:A520)+1)</f>
        <v/>
      </c>
    </row>
  </sheetData>
  <sheetProtection formatCells="0" formatColumns="0" formatRows="0" sort="0" autoFilter="0" pivotTables="0"/>
  <mergeCells count="1">
    <mergeCell ref="R3:S3"/>
  </mergeCells>
  <dataValidations count="5">
    <dataValidation type="list" allowBlank="1" showInputMessage="1" showErrorMessage="1" sqref="H6:H7" xr:uid="{30065624-FAF5-494F-9D50-0EE146A6B96E}">
      <formula1>"Client Visit,Periodic connect with Client stakeholders,New business opportunities,Seeking ELF/ CSAT,"</formula1>
    </dataValidation>
    <dataValidation type="list" allowBlank="1" showInputMessage="1" showErrorMessage="1" sqref="H10 H12:H245" xr:uid="{B4813BC9-E572-460D-8F9B-C33EA7D020D2}">
      <formula1>"Perform functionality testing as per test suite for various components/features in the scope,Perform regression testing of application,Track the usage of tools and reuse,"</formula1>
    </dataValidation>
    <dataValidation type="list" allowBlank="1" showInputMessage="1" showErrorMessage="1" sqref="E4" xr:uid="{B5625C3C-7E8E-496C-BB76-099CC2D75212}">
      <formula1>"Change management/ Deployment,Knowledge management/ Mentoring,Monitoring activities,Non ticketing Support activities,Service Management Activities,Ticketing activities ,"</formula1>
    </dataValidation>
    <dataValidation type="list" allowBlank="1" showInputMessage="1" showErrorMessage="1" sqref="H11" xr:uid="{BEF34D7B-A61C-4B05-8DAD-2B1FF253DE91}">
      <formula1>"Test Closure Report/ TSR,Collate client feedback ,Perform closure analysis/ Retrospective meeting &amp; document Lessons learnt,Archive project and knowledge artifacts,"</formula1>
    </dataValidation>
    <dataValidation type="list" allowBlank="1" showInputMessage="1" showErrorMessage="1" sqref="H5" xr:uid="{B2351C12-E39B-4218-828A-42F05D162A37}">
      <formula1>"Ticket creation/ assignment,ITSM queue monitoring,"</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050" r:id="rId4" name="CommandButton2">
          <controlPr defaultSize="0" autoLine="0" autoPict="0" r:id="rId5">
            <anchor moveWithCells="1">
              <from>
                <xdr:col>18</xdr:col>
                <xdr:colOff>85725</xdr:colOff>
                <xdr:row>2</xdr:row>
                <xdr:rowOff>219075</xdr:rowOff>
              </from>
              <to>
                <xdr:col>18</xdr:col>
                <xdr:colOff>581025</xdr:colOff>
                <xdr:row>4</xdr:row>
                <xdr:rowOff>419100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autoPict="0" r:id="rId7">
            <anchor moveWithCells="1">
              <from>
                <xdr:col>17</xdr:col>
                <xdr:colOff>104775</xdr:colOff>
                <xdr:row>2</xdr:row>
                <xdr:rowOff>219075</xdr:rowOff>
              </from>
              <to>
                <xdr:col>18</xdr:col>
                <xdr:colOff>28575</xdr:colOff>
                <xdr:row>4</xdr:row>
                <xdr:rowOff>419100</xdr:rowOff>
              </to>
            </anchor>
          </controlPr>
        </control>
      </mc:Choice>
      <mc:Fallback>
        <control shapeId="2049" r:id="rId6"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C0208-90D3-456B-BB9B-6B5866ED20A3}">
  <sheetPr codeName="Sheet4"/>
  <dimension ref="A1:BE17"/>
  <sheetViews>
    <sheetView workbookViewId="0">
      <selection activeCell="F8" sqref="F8:O8"/>
    </sheetView>
  </sheetViews>
  <sheetFormatPr defaultRowHeight="15" x14ac:dyDescent="0.25"/>
  <cols>
    <col min="1" max="16" width="2.7109375" style="14" customWidth="1"/>
    <col min="17" max="17" width="13.5703125" style="14" bestFit="1" customWidth="1"/>
    <col min="18" max="19" width="2.7109375" style="14" customWidth="1"/>
    <col min="20" max="20" width="9" style="14" customWidth="1"/>
    <col min="21" max="21" width="2.7109375" style="14" customWidth="1"/>
    <col min="22" max="22" width="10.5703125" style="14" customWidth="1"/>
    <col min="23" max="82" width="2.7109375" style="14" customWidth="1"/>
    <col min="83" max="16384" width="9.140625" style="14"/>
  </cols>
  <sheetData>
    <row r="1" spans="1:57" s="29" customFormat="1" ht="17.25" customHeight="1" x14ac:dyDescent="0.25">
      <c r="A1" s="29">
        <v>1</v>
      </c>
      <c r="B1" s="29">
        <f>A1+1</f>
        <v>2</v>
      </c>
      <c r="C1" s="29">
        <f t="shared" ref="C1:BE1" si="0">B1+1</f>
        <v>3</v>
      </c>
      <c r="D1" s="29">
        <f t="shared" si="0"/>
        <v>4</v>
      </c>
      <c r="E1" s="29">
        <f t="shared" si="0"/>
        <v>5</v>
      </c>
      <c r="F1" s="29">
        <f t="shared" si="0"/>
        <v>6</v>
      </c>
      <c r="G1" s="29">
        <f t="shared" si="0"/>
        <v>7</v>
      </c>
      <c r="H1" s="29">
        <f t="shared" si="0"/>
        <v>8</v>
      </c>
      <c r="I1" s="29">
        <f t="shared" si="0"/>
        <v>9</v>
      </c>
      <c r="J1" s="29">
        <f t="shared" si="0"/>
        <v>10</v>
      </c>
      <c r="K1" s="29">
        <f t="shared" si="0"/>
        <v>11</v>
      </c>
      <c r="L1" s="29">
        <f t="shared" si="0"/>
        <v>12</v>
      </c>
      <c r="M1" s="29">
        <f t="shared" si="0"/>
        <v>13</v>
      </c>
      <c r="N1" s="29">
        <f t="shared" si="0"/>
        <v>14</v>
      </c>
      <c r="O1" s="29">
        <f t="shared" si="0"/>
        <v>15</v>
      </c>
      <c r="P1" s="29">
        <f t="shared" si="0"/>
        <v>16</v>
      </c>
      <c r="Q1" s="29">
        <f t="shared" si="0"/>
        <v>17</v>
      </c>
      <c r="R1" s="29">
        <f t="shared" si="0"/>
        <v>18</v>
      </c>
      <c r="S1" s="29">
        <f t="shared" si="0"/>
        <v>19</v>
      </c>
      <c r="T1" s="29">
        <f t="shared" si="0"/>
        <v>20</v>
      </c>
      <c r="U1" s="29">
        <f t="shared" si="0"/>
        <v>21</v>
      </c>
      <c r="V1" s="29">
        <f t="shared" si="0"/>
        <v>22</v>
      </c>
      <c r="W1" s="29">
        <f t="shared" si="0"/>
        <v>23</v>
      </c>
      <c r="X1" s="29">
        <f t="shared" si="0"/>
        <v>24</v>
      </c>
      <c r="Y1" s="29">
        <f t="shared" si="0"/>
        <v>25</v>
      </c>
      <c r="Z1" s="29">
        <f t="shared" si="0"/>
        <v>26</v>
      </c>
      <c r="AA1" s="29">
        <f t="shared" si="0"/>
        <v>27</v>
      </c>
      <c r="AB1" s="29">
        <f t="shared" si="0"/>
        <v>28</v>
      </c>
      <c r="AC1" s="29">
        <f t="shared" si="0"/>
        <v>29</v>
      </c>
      <c r="AD1" s="29">
        <f t="shared" si="0"/>
        <v>30</v>
      </c>
      <c r="AE1" s="29">
        <f t="shared" si="0"/>
        <v>31</v>
      </c>
      <c r="AF1" s="29">
        <f t="shared" si="0"/>
        <v>32</v>
      </c>
      <c r="AG1" s="29">
        <f t="shared" si="0"/>
        <v>33</v>
      </c>
      <c r="AH1" s="29">
        <f t="shared" si="0"/>
        <v>34</v>
      </c>
      <c r="AI1" s="29">
        <f t="shared" si="0"/>
        <v>35</v>
      </c>
      <c r="AJ1" s="29">
        <f t="shared" si="0"/>
        <v>36</v>
      </c>
      <c r="AK1" s="29">
        <f t="shared" si="0"/>
        <v>37</v>
      </c>
      <c r="AL1" s="29">
        <f t="shared" si="0"/>
        <v>38</v>
      </c>
      <c r="AM1" s="29">
        <f t="shared" si="0"/>
        <v>39</v>
      </c>
      <c r="AN1" s="29">
        <f t="shared" si="0"/>
        <v>40</v>
      </c>
      <c r="AO1" s="29">
        <f t="shared" si="0"/>
        <v>41</v>
      </c>
      <c r="AP1" s="29">
        <f t="shared" si="0"/>
        <v>42</v>
      </c>
      <c r="AQ1" s="29">
        <f t="shared" si="0"/>
        <v>43</v>
      </c>
      <c r="AR1" s="29">
        <f t="shared" si="0"/>
        <v>44</v>
      </c>
      <c r="AS1" s="29">
        <f t="shared" si="0"/>
        <v>45</v>
      </c>
      <c r="AT1" s="29">
        <f t="shared" si="0"/>
        <v>46</v>
      </c>
      <c r="AU1" s="29">
        <f t="shared" si="0"/>
        <v>47</v>
      </c>
      <c r="AV1" s="29">
        <f t="shared" si="0"/>
        <v>48</v>
      </c>
      <c r="AW1" s="29">
        <f t="shared" si="0"/>
        <v>49</v>
      </c>
      <c r="AX1" s="29">
        <f t="shared" si="0"/>
        <v>50</v>
      </c>
      <c r="AY1" s="29">
        <f t="shared" si="0"/>
        <v>51</v>
      </c>
      <c r="AZ1" s="29">
        <f t="shared" si="0"/>
        <v>52</v>
      </c>
      <c r="BA1" s="29">
        <f t="shared" si="0"/>
        <v>53</v>
      </c>
      <c r="BB1" s="29">
        <f t="shared" si="0"/>
        <v>54</v>
      </c>
      <c r="BC1" s="29">
        <f t="shared" si="0"/>
        <v>55</v>
      </c>
      <c r="BD1" s="29">
        <f t="shared" si="0"/>
        <v>56</v>
      </c>
      <c r="BE1" s="29">
        <f t="shared" si="0"/>
        <v>57</v>
      </c>
    </row>
    <row r="2" spans="1:57" ht="28.5" x14ac:dyDescent="0.45">
      <c r="C2" s="15" t="s">
        <v>33</v>
      </c>
    </row>
    <row r="3" spans="1:57" s="29" customFormat="1" ht="15.75" thickBot="1" x14ac:dyDescent="0.3">
      <c r="A3" s="29">
        <v>1</v>
      </c>
      <c r="B3" s="29">
        <f>A3+1</f>
        <v>2</v>
      </c>
      <c r="C3" s="29">
        <f>B3+1</f>
        <v>3</v>
      </c>
      <c r="D3" s="29">
        <f t="shared" ref="D3:AX3" si="1">C3+1</f>
        <v>4</v>
      </c>
      <c r="E3" s="29">
        <f t="shared" si="1"/>
        <v>5</v>
      </c>
      <c r="F3" s="29">
        <f t="shared" si="1"/>
        <v>6</v>
      </c>
      <c r="G3" s="29">
        <f t="shared" si="1"/>
        <v>7</v>
      </c>
      <c r="H3" s="29">
        <f t="shared" si="1"/>
        <v>8</v>
      </c>
      <c r="I3" s="29">
        <f t="shared" si="1"/>
        <v>9</v>
      </c>
      <c r="J3" s="29">
        <f t="shared" si="1"/>
        <v>10</v>
      </c>
      <c r="K3" s="29">
        <f t="shared" si="1"/>
        <v>11</v>
      </c>
      <c r="L3" s="29">
        <f t="shared" si="1"/>
        <v>12</v>
      </c>
      <c r="M3" s="29">
        <f t="shared" si="1"/>
        <v>13</v>
      </c>
      <c r="N3" s="29">
        <f t="shared" si="1"/>
        <v>14</v>
      </c>
      <c r="O3" s="29">
        <f t="shared" si="1"/>
        <v>15</v>
      </c>
      <c r="P3" s="29">
        <f t="shared" si="1"/>
        <v>16</v>
      </c>
      <c r="Q3" s="29">
        <f t="shared" si="1"/>
        <v>17</v>
      </c>
      <c r="R3" s="29">
        <f t="shared" si="1"/>
        <v>18</v>
      </c>
      <c r="S3" s="29">
        <f t="shared" si="1"/>
        <v>19</v>
      </c>
      <c r="T3" s="29">
        <f t="shared" si="1"/>
        <v>20</v>
      </c>
      <c r="U3" s="29">
        <f t="shared" si="1"/>
        <v>21</v>
      </c>
      <c r="V3" s="29">
        <f t="shared" si="1"/>
        <v>22</v>
      </c>
      <c r="W3" s="29">
        <f t="shared" si="1"/>
        <v>23</v>
      </c>
      <c r="X3" s="29">
        <f t="shared" si="1"/>
        <v>24</v>
      </c>
      <c r="Y3" s="29">
        <f t="shared" si="1"/>
        <v>25</v>
      </c>
      <c r="Z3" s="29">
        <f t="shared" si="1"/>
        <v>26</v>
      </c>
      <c r="AA3" s="29">
        <f t="shared" si="1"/>
        <v>27</v>
      </c>
      <c r="AB3" s="29">
        <f t="shared" si="1"/>
        <v>28</v>
      </c>
      <c r="AC3" s="29">
        <f t="shared" si="1"/>
        <v>29</v>
      </c>
      <c r="AD3" s="29">
        <f t="shared" si="1"/>
        <v>30</v>
      </c>
      <c r="AE3" s="29">
        <f t="shared" si="1"/>
        <v>31</v>
      </c>
      <c r="AF3" s="29">
        <f t="shared" si="1"/>
        <v>32</v>
      </c>
      <c r="AG3" s="29">
        <f t="shared" si="1"/>
        <v>33</v>
      </c>
      <c r="AH3" s="29">
        <f t="shared" si="1"/>
        <v>34</v>
      </c>
      <c r="AI3" s="29">
        <f t="shared" si="1"/>
        <v>35</v>
      </c>
      <c r="AJ3" s="29">
        <f t="shared" si="1"/>
        <v>36</v>
      </c>
      <c r="AK3" s="29">
        <f t="shared" si="1"/>
        <v>37</v>
      </c>
      <c r="AL3" s="29">
        <f t="shared" si="1"/>
        <v>38</v>
      </c>
      <c r="AM3" s="29">
        <f t="shared" si="1"/>
        <v>39</v>
      </c>
      <c r="AN3" s="29">
        <f t="shared" si="1"/>
        <v>40</v>
      </c>
      <c r="AO3" s="29">
        <f t="shared" si="1"/>
        <v>41</v>
      </c>
      <c r="AP3" s="29">
        <f t="shared" si="1"/>
        <v>42</v>
      </c>
      <c r="AQ3" s="29">
        <f t="shared" si="1"/>
        <v>43</v>
      </c>
      <c r="AR3" s="29">
        <f t="shared" si="1"/>
        <v>44</v>
      </c>
      <c r="AS3" s="29">
        <f t="shared" si="1"/>
        <v>45</v>
      </c>
      <c r="AT3" s="29">
        <f t="shared" si="1"/>
        <v>46</v>
      </c>
      <c r="AU3" s="29">
        <f t="shared" si="1"/>
        <v>47</v>
      </c>
      <c r="AV3" s="29">
        <f t="shared" si="1"/>
        <v>48</v>
      </c>
      <c r="AW3" s="29">
        <f t="shared" si="1"/>
        <v>49</v>
      </c>
      <c r="AX3" s="29">
        <f t="shared" si="1"/>
        <v>50</v>
      </c>
    </row>
    <row r="4" spans="1:57" s="20" customFormat="1" ht="29.25" customHeight="1" x14ac:dyDescent="0.25">
      <c r="C4" s="16" t="s">
        <v>0</v>
      </c>
      <c r="D4" s="17"/>
      <c r="E4" s="17"/>
      <c r="F4" s="18" t="s">
        <v>163</v>
      </c>
      <c r="G4" s="17"/>
      <c r="H4" s="17"/>
      <c r="I4" s="17"/>
      <c r="J4" s="17"/>
      <c r="K4" s="17"/>
      <c r="L4" s="17"/>
      <c r="M4" s="17"/>
      <c r="N4" s="17"/>
      <c r="O4" s="17"/>
      <c r="P4" s="17"/>
      <c r="Q4" s="18" t="s">
        <v>2</v>
      </c>
      <c r="R4" s="18"/>
      <c r="S4" s="18"/>
      <c r="T4" s="18"/>
      <c r="U4" s="17"/>
      <c r="V4" s="17"/>
      <c r="W4" s="17"/>
      <c r="X4" s="180" t="s">
        <v>180</v>
      </c>
      <c r="Y4" s="180"/>
      <c r="Z4" s="180"/>
      <c r="AA4" s="180"/>
      <c r="AB4" s="180"/>
      <c r="AC4" s="180"/>
      <c r="AD4" s="180"/>
      <c r="AE4" s="180"/>
      <c r="AF4" s="18"/>
      <c r="AG4" s="17"/>
      <c r="AH4" s="17"/>
      <c r="AI4" s="18" t="s">
        <v>27</v>
      </c>
      <c r="AJ4" s="17"/>
      <c r="AK4" s="17"/>
      <c r="AL4" s="17"/>
      <c r="AM4" s="17"/>
      <c r="AN4" s="17"/>
      <c r="AO4" s="18" t="s">
        <v>179</v>
      </c>
      <c r="AP4" s="17"/>
      <c r="AQ4" s="17"/>
      <c r="AR4" s="17"/>
      <c r="AS4" s="18" t="s">
        <v>34</v>
      </c>
      <c r="AT4" s="17"/>
      <c r="AU4" s="17"/>
      <c r="AV4" s="17"/>
      <c r="AW4" s="17"/>
      <c r="AX4" s="19"/>
    </row>
    <row r="5" spans="1:57" s="28" customFormat="1" ht="8.25" customHeight="1" x14ac:dyDescent="0.25">
      <c r="C5" s="25" t="str">
        <f>C4</f>
        <v>S.No</v>
      </c>
      <c r="D5" s="26" t="s">
        <v>30</v>
      </c>
      <c r="E5" s="26" t="s">
        <v>30</v>
      </c>
      <c r="F5" s="26" t="str">
        <f>F4</f>
        <v>Track</v>
      </c>
      <c r="G5" s="26" t="s">
        <v>30</v>
      </c>
      <c r="H5" s="26" t="s">
        <v>30</v>
      </c>
      <c r="I5" s="26" t="s">
        <v>30</v>
      </c>
      <c r="J5" s="26" t="s">
        <v>30</v>
      </c>
      <c r="K5" s="26" t="s">
        <v>30</v>
      </c>
      <c r="L5" s="26" t="s">
        <v>30</v>
      </c>
      <c r="M5" s="26" t="s">
        <v>30</v>
      </c>
      <c r="N5" s="26" t="s">
        <v>30</v>
      </c>
      <c r="O5" s="26" t="s">
        <v>30</v>
      </c>
      <c r="P5" s="26" t="s">
        <v>30</v>
      </c>
      <c r="Q5" s="26" t="str">
        <f>Q4</f>
        <v>Major Activity</v>
      </c>
      <c r="R5" s="26" t="s">
        <v>30</v>
      </c>
      <c r="S5" s="26" t="s">
        <v>30</v>
      </c>
      <c r="T5" s="26" t="s">
        <v>30</v>
      </c>
      <c r="U5" s="26" t="s">
        <v>30</v>
      </c>
      <c r="V5" s="26" t="s">
        <v>30</v>
      </c>
      <c r="W5" s="26" t="s">
        <v>30</v>
      </c>
      <c r="X5" s="26" t="str">
        <f>X4</f>
        <v>Sub-Activity</v>
      </c>
      <c r="Y5" s="26" t="s">
        <v>30</v>
      </c>
      <c r="Z5" s="26" t="s">
        <v>30</v>
      </c>
      <c r="AA5" s="26" t="s">
        <v>30</v>
      </c>
      <c r="AB5" s="26" t="s">
        <v>30</v>
      </c>
      <c r="AC5" s="26" t="s">
        <v>30</v>
      </c>
      <c r="AD5" s="26" t="s">
        <v>30</v>
      </c>
      <c r="AE5" s="26" t="s">
        <v>30</v>
      </c>
      <c r="AF5" s="26" t="s">
        <v>30</v>
      </c>
      <c r="AG5" s="26" t="s">
        <v>30</v>
      </c>
      <c r="AH5" s="26" t="s">
        <v>30</v>
      </c>
      <c r="AI5" s="26" t="str">
        <f>AI4</f>
        <v>Frequency</v>
      </c>
      <c r="AJ5" s="26" t="s">
        <v>30</v>
      </c>
      <c r="AK5" s="26" t="s">
        <v>30</v>
      </c>
      <c r="AL5" s="26" t="s">
        <v>30</v>
      </c>
      <c r="AM5" s="26" t="s">
        <v>30</v>
      </c>
      <c r="AN5" s="26" t="s">
        <v>30</v>
      </c>
      <c r="AO5" s="26" t="str">
        <f>AO4</f>
        <v>Hours</v>
      </c>
      <c r="AP5" s="26" t="s">
        <v>30</v>
      </c>
      <c r="AQ5" s="26" t="s">
        <v>30</v>
      </c>
      <c r="AR5" s="26" t="s">
        <v>30</v>
      </c>
      <c r="AS5" s="26" t="s">
        <v>32</v>
      </c>
      <c r="AT5" s="26" t="s">
        <v>30</v>
      </c>
      <c r="AU5" s="26" t="s">
        <v>30</v>
      </c>
      <c r="AV5" s="26" t="s">
        <v>30</v>
      </c>
      <c r="AW5" s="26" t="s">
        <v>30</v>
      </c>
      <c r="AX5" s="26" t="s">
        <v>30</v>
      </c>
      <c r="AY5" s="27"/>
    </row>
    <row r="6" spans="1:57" s="20" customFormat="1" ht="20.100000000000001" customHeight="1" x14ac:dyDescent="0.25">
      <c r="C6" s="181">
        <v>1</v>
      </c>
      <c r="D6" s="182"/>
      <c r="E6" s="21"/>
      <c r="F6" s="183" t="s">
        <v>7</v>
      </c>
      <c r="G6" s="183"/>
      <c r="H6" s="183"/>
      <c r="I6" s="183"/>
      <c r="J6" s="183"/>
      <c r="K6" s="183"/>
      <c r="L6" s="183"/>
      <c r="M6" s="183"/>
      <c r="N6" s="183"/>
      <c r="O6" s="183"/>
      <c r="P6" s="21"/>
      <c r="Q6" s="184" t="s">
        <v>76</v>
      </c>
      <c r="R6" s="184"/>
      <c r="S6" s="184"/>
      <c r="T6" s="184"/>
      <c r="U6" s="184"/>
      <c r="V6" s="184"/>
      <c r="W6" s="21"/>
      <c r="X6" s="185" t="s">
        <v>78</v>
      </c>
      <c r="Y6" s="185"/>
      <c r="Z6" s="185"/>
      <c r="AA6" s="185"/>
      <c r="AB6" s="185"/>
      <c r="AC6" s="185"/>
      <c r="AD6" s="185"/>
      <c r="AE6" s="185"/>
      <c r="AF6" s="185"/>
      <c r="AG6" s="185"/>
      <c r="AH6" s="21"/>
      <c r="AI6" s="182" t="s">
        <v>168</v>
      </c>
      <c r="AJ6" s="182"/>
      <c r="AK6" s="182"/>
      <c r="AL6" s="182"/>
      <c r="AM6" s="182"/>
      <c r="AN6" s="21"/>
      <c r="AO6" s="186">
        <v>4</v>
      </c>
      <c r="AP6" s="186"/>
      <c r="AQ6" s="186"/>
      <c r="AR6" s="23"/>
      <c r="AS6" s="187">
        <f>IFERROR(AO6*VLOOKUP(AI6,'Look-up'!$CI$3:$CJ$10,2,FALSE),"")</f>
        <v>16</v>
      </c>
      <c r="AT6" s="187"/>
      <c r="AU6" s="187"/>
      <c r="AV6" s="23"/>
      <c r="AW6" s="23"/>
      <c r="AX6" s="22"/>
    </row>
    <row r="7" spans="1:57" s="20" customFormat="1" ht="20.100000000000001" customHeight="1" x14ac:dyDescent="0.25">
      <c r="C7" s="181">
        <f>IFERROR(IF(F7&lt;&gt;"",C6+1,""),C6)</f>
        <v>2</v>
      </c>
      <c r="D7" s="182"/>
      <c r="E7" s="21"/>
      <c r="F7" s="183" t="s">
        <v>5</v>
      </c>
      <c r="G7" s="183"/>
      <c r="H7" s="183"/>
      <c r="I7" s="183"/>
      <c r="J7" s="183"/>
      <c r="K7" s="183"/>
      <c r="L7" s="183"/>
      <c r="M7" s="183"/>
      <c r="N7" s="183"/>
      <c r="O7" s="183"/>
      <c r="P7" s="21"/>
      <c r="Q7" s="184" t="s">
        <v>186</v>
      </c>
      <c r="R7" s="184"/>
      <c r="S7" s="184"/>
      <c r="T7" s="184"/>
      <c r="U7" s="184"/>
      <c r="V7" s="184"/>
      <c r="W7" s="21"/>
      <c r="X7" s="185" t="s">
        <v>198</v>
      </c>
      <c r="Y7" s="185"/>
      <c r="Z7" s="185"/>
      <c r="AA7" s="185"/>
      <c r="AB7" s="185"/>
      <c r="AC7" s="185"/>
      <c r="AD7" s="185"/>
      <c r="AE7" s="185"/>
      <c r="AF7" s="185"/>
      <c r="AG7" s="185"/>
      <c r="AH7" s="21"/>
      <c r="AI7" s="182" t="s">
        <v>32</v>
      </c>
      <c r="AJ7" s="182"/>
      <c r="AK7" s="182"/>
      <c r="AL7" s="182"/>
      <c r="AM7" s="182"/>
      <c r="AN7" s="21"/>
      <c r="AO7" s="186">
        <v>2</v>
      </c>
      <c r="AP7" s="186"/>
      <c r="AQ7" s="186"/>
      <c r="AR7" s="23"/>
      <c r="AS7" s="187">
        <f>IFERROR(AO7*VLOOKUP(AI7,'Look-up'!$CI$3:$CJ$10,2,FALSE),"")</f>
        <v>2</v>
      </c>
      <c r="AT7" s="187"/>
      <c r="AU7" s="187"/>
      <c r="AV7" s="23"/>
      <c r="AW7" s="23"/>
      <c r="AX7" s="22"/>
    </row>
    <row r="8" spans="1:57" s="20" customFormat="1" ht="20.100000000000001" customHeight="1" x14ac:dyDescent="0.25">
      <c r="C8" s="181" t="str">
        <f>IFERROR(IF(F8&lt;&gt;"",C7+1,""),C7)</f>
        <v/>
      </c>
      <c r="D8" s="182"/>
      <c r="E8" s="21"/>
      <c r="F8" s="183"/>
      <c r="G8" s="183"/>
      <c r="H8" s="183"/>
      <c r="I8" s="183"/>
      <c r="J8" s="183"/>
      <c r="K8" s="183"/>
      <c r="L8" s="183"/>
      <c r="M8" s="183"/>
      <c r="N8" s="183"/>
      <c r="O8" s="183"/>
      <c r="P8" s="21"/>
      <c r="Q8" s="184"/>
      <c r="R8" s="184"/>
      <c r="S8" s="184"/>
      <c r="T8" s="184"/>
      <c r="U8" s="184"/>
      <c r="V8" s="184"/>
      <c r="W8" s="21"/>
      <c r="X8" s="185"/>
      <c r="Y8" s="185"/>
      <c r="Z8" s="185"/>
      <c r="AA8" s="185"/>
      <c r="AB8" s="185"/>
      <c r="AC8" s="185"/>
      <c r="AD8" s="185"/>
      <c r="AE8" s="185"/>
      <c r="AF8" s="185"/>
      <c r="AG8" s="185"/>
      <c r="AH8" s="21"/>
      <c r="AI8" s="182"/>
      <c r="AJ8" s="182"/>
      <c r="AK8" s="182"/>
      <c r="AL8" s="182"/>
      <c r="AM8" s="182"/>
      <c r="AN8" s="21"/>
      <c r="AO8" s="186"/>
      <c r="AP8" s="186"/>
      <c r="AQ8" s="186"/>
      <c r="AR8" s="23"/>
      <c r="AS8" s="187" t="str">
        <f>IFERROR(AO8*VLOOKUP(AI8,'Look-up'!$CI$3:$CJ$10,2,FALSE),"")</f>
        <v/>
      </c>
      <c r="AT8" s="187"/>
      <c r="AU8" s="187"/>
      <c r="AV8" s="23"/>
      <c r="AW8" s="23"/>
      <c r="AX8" s="22"/>
    </row>
    <row r="9" spans="1:57" s="20" customFormat="1" ht="20.100000000000001" customHeight="1" x14ac:dyDescent="0.25">
      <c r="C9" s="181" t="str">
        <f t="shared" ref="C9:C17" si="2">IFERROR(IF(F9&lt;&gt;"",C8+1,""),C8)</f>
        <v/>
      </c>
      <c r="D9" s="182"/>
      <c r="E9" s="21"/>
      <c r="F9" s="183"/>
      <c r="G9" s="183"/>
      <c r="H9" s="183"/>
      <c r="I9" s="183"/>
      <c r="J9" s="183"/>
      <c r="K9" s="183"/>
      <c r="L9" s="183"/>
      <c r="M9" s="183"/>
      <c r="N9" s="183"/>
      <c r="O9" s="183"/>
      <c r="P9" s="21"/>
      <c r="Q9" s="184"/>
      <c r="R9" s="184"/>
      <c r="S9" s="184"/>
      <c r="T9" s="184"/>
      <c r="U9" s="184"/>
      <c r="V9" s="184"/>
      <c r="W9" s="21"/>
      <c r="X9" s="185"/>
      <c r="Y9" s="185"/>
      <c r="Z9" s="185"/>
      <c r="AA9" s="185"/>
      <c r="AB9" s="185"/>
      <c r="AC9" s="185"/>
      <c r="AD9" s="185"/>
      <c r="AE9" s="185"/>
      <c r="AF9" s="185"/>
      <c r="AG9" s="185"/>
      <c r="AH9" s="21"/>
      <c r="AI9" s="182"/>
      <c r="AJ9" s="182"/>
      <c r="AK9" s="182"/>
      <c r="AL9" s="182"/>
      <c r="AM9" s="182"/>
      <c r="AN9" s="21"/>
      <c r="AO9" s="186"/>
      <c r="AP9" s="186"/>
      <c r="AQ9" s="186"/>
      <c r="AR9" s="23"/>
      <c r="AS9" s="187" t="str">
        <f>IFERROR(AO9*VLOOKUP(AI9,'Look-up'!$CI$3:$CJ$10,2,FALSE),"")</f>
        <v/>
      </c>
      <c r="AT9" s="187"/>
      <c r="AU9" s="187"/>
      <c r="AV9" s="23"/>
      <c r="AW9" s="23"/>
      <c r="AX9" s="22"/>
    </row>
    <row r="10" spans="1:57" s="20" customFormat="1" ht="20.100000000000001" customHeight="1" x14ac:dyDescent="0.25">
      <c r="C10" s="181" t="str">
        <f t="shared" si="2"/>
        <v/>
      </c>
      <c r="D10" s="182"/>
      <c r="E10" s="21"/>
      <c r="F10" s="108"/>
      <c r="G10" s="108"/>
      <c r="H10" s="108"/>
      <c r="I10" s="108"/>
      <c r="J10" s="108"/>
      <c r="K10" s="108"/>
      <c r="L10" s="108"/>
      <c r="M10" s="108"/>
      <c r="N10" s="108"/>
      <c r="O10" s="108"/>
      <c r="P10" s="21"/>
      <c r="Q10" s="109"/>
      <c r="R10" s="109"/>
      <c r="S10" s="109"/>
      <c r="T10" s="109"/>
      <c r="U10" s="109"/>
      <c r="V10" s="109"/>
      <c r="W10" s="21"/>
      <c r="X10" s="110"/>
      <c r="Y10" s="110"/>
      <c r="Z10" s="110"/>
      <c r="AA10" s="110"/>
      <c r="AB10" s="110"/>
      <c r="AC10" s="110"/>
      <c r="AD10" s="110"/>
      <c r="AE10" s="110"/>
      <c r="AF10" s="110"/>
      <c r="AG10" s="110"/>
      <c r="AH10" s="21"/>
      <c r="AI10" s="182"/>
      <c r="AJ10" s="182"/>
      <c r="AK10" s="182"/>
      <c r="AL10" s="182"/>
      <c r="AM10" s="182"/>
      <c r="AN10" s="21"/>
      <c r="AO10" s="186"/>
      <c r="AP10" s="186"/>
      <c r="AQ10" s="186"/>
      <c r="AR10" s="23"/>
      <c r="AS10" s="187" t="str">
        <f>IFERROR(AO10*VLOOKUP(AI10,'Look-up'!$CI$3:$CJ$10,2,FALSE),"")</f>
        <v/>
      </c>
      <c r="AT10" s="187"/>
      <c r="AU10" s="187"/>
      <c r="AV10" s="23"/>
      <c r="AW10" s="23"/>
      <c r="AX10" s="22"/>
    </row>
    <row r="11" spans="1:57" s="20" customFormat="1" ht="20.100000000000001" customHeight="1" x14ac:dyDescent="0.25">
      <c r="C11" s="181" t="str">
        <f t="shared" si="2"/>
        <v/>
      </c>
      <c r="D11" s="182"/>
      <c r="E11" s="21"/>
      <c r="F11" s="183"/>
      <c r="G11" s="183"/>
      <c r="H11" s="183"/>
      <c r="I11" s="183"/>
      <c r="J11" s="183"/>
      <c r="K11" s="183"/>
      <c r="L11" s="183"/>
      <c r="M11" s="183"/>
      <c r="N11" s="183"/>
      <c r="O11" s="183"/>
      <c r="P11" s="21"/>
      <c r="Q11" s="184"/>
      <c r="R11" s="184"/>
      <c r="S11" s="184"/>
      <c r="T11" s="184"/>
      <c r="U11" s="184"/>
      <c r="V11" s="184"/>
      <c r="W11" s="21"/>
      <c r="X11" s="185"/>
      <c r="Y11" s="185"/>
      <c r="Z11" s="185"/>
      <c r="AA11" s="185"/>
      <c r="AB11" s="185"/>
      <c r="AC11" s="185"/>
      <c r="AD11" s="185"/>
      <c r="AE11" s="185"/>
      <c r="AF11" s="185"/>
      <c r="AG11" s="185"/>
      <c r="AH11" s="21"/>
      <c r="AI11" s="182"/>
      <c r="AJ11" s="182"/>
      <c r="AK11" s="182"/>
      <c r="AL11" s="182"/>
      <c r="AM11" s="182"/>
      <c r="AN11" s="21"/>
      <c r="AO11" s="186"/>
      <c r="AP11" s="186"/>
      <c r="AQ11" s="186"/>
      <c r="AR11" s="23"/>
      <c r="AS11" s="187" t="str">
        <f>IFERROR(AO11*VLOOKUP(AI11,'Look-up'!$CI$3:$CJ$10,2,FALSE),"")</f>
        <v/>
      </c>
      <c r="AT11" s="187"/>
      <c r="AU11" s="187"/>
      <c r="AV11" s="23"/>
      <c r="AW11" s="23"/>
      <c r="AX11" s="22"/>
    </row>
    <row r="12" spans="1:57" s="20" customFormat="1" ht="20.100000000000001" customHeight="1" x14ac:dyDescent="0.25">
      <c r="C12" s="181" t="str">
        <f t="shared" si="2"/>
        <v/>
      </c>
      <c r="D12" s="182"/>
      <c r="E12" s="21"/>
      <c r="F12" s="183"/>
      <c r="G12" s="183"/>
      <c r="H12" s="183"/>
      <c r="I12" s="183"/>
      <c r="J12" s="183"/>
      <c r="K12" s="183"/>
      <c r="L12" s="183"/>
      <c r="M12" s="183"/>
      <c r="N12" s="183"/>
      <c r="O12" s="183"/>
      <c r="P12" s="21"/>
      <c r="Q12" s="184"/>
      <c r="R12" s="184"/>
      <c r="S12" s="184"/>
      <c r="T12" s="184"/>
      <c r="U12" s="184"/>
      <c r="V12" s="184"/>
      <c r="W12" s="21"/>
      <c r="X12" s="185"/>
      <c r="Y12" s="185"/>
      <c r="Z12" s="185"/>
      <c r="AA12" s="185"/>
      <c r="AB12" s="185"/>
      <c r="AC12" s="185"/>
      <c r="AD12" s="185"/>
      <c r="AE12" s="185"/>
      <c r="AF12" s="185"/>
      <c r="AG12" s="185"/>
      <c r="AH12" s="21"/>
      <c r="AI12" s="182"/>
      <c r="AJ12" s="182"/>
      <c r="AK12" s="182"/>
      <c r="AL12" s="182"/>
      <c r="AM12" s="182"/>
      <c r="AN12" s="21"/>
      <c r="AO12" s="186"/>
      <c r="AP12" s="186"/>
      <c r="AQ12" s="186"/>
      <c r="AR12" s="23"/>
      <c r="AS12" s="187" t="str">
        <f>IFERROR(AO12*VLOOKUP(AI12,'Look-up'!$CI$3:$CJ$10,2,FALSE),"")</f>
        <v/>
      </c>
      <c r="AT12" s="187"/>
      <c r="AU12" s="187"/>
      <c r="AV12" s="23"/>
      <c r="AW12" s="23"/>
      <c r="AX12" s="22"/>
    </row>
    <row r="13" spans="1:57" s="20" customFormat="1" ht="20.100000000000001" customHeight="1" x14ac:dyDescent="0.25">
      <c r="C13" s="181" t="str">
        <f t="shared" si="2"/>
        <v/>
      </c>
      <c r="D13" s="182"/>
      <c r="E13" s="21"/>
      <c r="F13" s="183"/>
      <c r="G13" s="183"/>
      <c r="H13" s="183"/>
      <c r="I13" s="183"/>
      <c r="J13" s="183"/>
      <c r="K13" s="183"/>
      <c r="L13" s="183"/>
      <c r="M13" s="183"/>
      <c r="N13" s="183"/>
      <c r="O13" s="183"/>
      <c r="P13" s="21"/>
      <c r="Q13" s="184"/>
      <c r="R13" s="184"/>
      <c r="S13" s="184"/>
      <c r="T13" s="184"/>
      <c r="U13" s="184"/>
      <c r="V13" s="184"/>
      <c r="W13" s="21"/>
      <c r="X13" s="185"/>
      <c r="Y13" s="185"/>
      <c r="Z13" s="185"/>
      <c r="AA13" s="185"/>
      <c r="AB13" s="185"/>
      <c r="AC13" s="185"/>
      <c r="AD13" s="185"/>
      <c r="AE13" s="185"/>
      <c r="AF13" s="185"/>
      <c r="AG13" s="185"/>
      <c r="AH13" s="21"/>
      <c r="AI13" s="182"/>
      <c r="AJ13" s="182"/>
      <c r="AK13" s="182"/>
      <c r="AL13" s="182"/>
      <c r="AM13" s="182"/>
      <c r="AN13" s="21"/>
      <c r="AO13" s="186"/>
      <c r="AP13" s="186"/>
      <c r="AQ13" s="186"/>
      <c r="AR13" s="23"/>
      <c r="AS13" s="187" t="str">
        <f>IFERROR(AO13*VLOOKUP(AI13,'Look-up'!$CI$3:$CJ$10,2,FALSE),"")</f>
        <v/>
      </c>
      <c r="AT13" s="187"/>
      <c r="AU13" s="187"/>
      <c r="AV13" s="23"/>
      <c r="AW13" s="23"/>
      <c r="AX13" s="22"/>
    </row>
    <row r="14" spans="1:57" s="20" customFormat="1" ht="20.100000000000001" customHeight="1" x14ac:dyDescent="0.25">
      <c r="C14" s="181" t="str">
        <f t="shared" si="2"/>
        <v/>
      </c>
      <c r="D14" s="182"/>
      <c r="E14" s="21"/>
      <c r="F14" s="183"/>
      <c r="G14" s="183"/>
      <c r="H14" s="183"/>
      <c r="I14" s="183"/>
      <c r="J14" s="183"/>
      <c r="K14" s="183"/>
      <c r="L14" s="183"/>
      <c r="M14" s="183"/>
      <c r="N14" s="183"/>
      <c r="O14" s="183"/>
      <c r="P14" s="21"/>
      <c r="Q14" s="184"/>
      <c r="R14" s="184"/>
      <c r="S14" s="184"/>
      <c r="T14" s="184"/>
      <c r="U14" s="184"/>
      <c r="V14" s="184"/>
      <c r="W14" s="21"/>
      <c r="X14" s="185"/>
      <c r="Y14" s="185"/>
      <c r="Z14" s="185"/>
      <c r="AA14" s="185"/>
      <c r="AB14" s="185"/>
      <c r="AC14" s="185"/>
      <c r="AD14" s="185"/>
      <c r="AE14" s="185"/>
      <c r="AF14" s="185"/>
      <c r="AG14" s="185"/>
      <c r="AH14" s="21"/>
      <c r="AI14" s="182"/>
      <c r="AJ14" s="182"/>
      <c r="AK14" s="182"/>
      <c r="AL14" s="182"/>
      <c r="AM14" s="182"/>
      <c r="AN14" s="21"/>
      <c r="AO14" s="186"/>
      <c r="AP14" s="186"/>
      <c r="AQ14" s="186"/>
      <c r="AR14" s="23"/>
      <c r="AS14" s="187" t="str">
        <f>IFERROR(AO14*VLOOKUP(AI14,'Look-up'!$CI$3:$CJ$10,2,FALSE),"")</f>
        <v/>
      </c>
      <c r="AT14" s="187"/>
      <c r="AU14" s="187"/>
      <c r="AV14" s="23"/>
      <c r="AW14" s="23"/>
      <c r="AX14" s="22"/>
    </row>
    <row r="15" spans="1:57" s="20" customFormat="1" ht="20.100000000000001" customHeight="1" x14ac:dyDescent="0.25">
      <c r="C15" s="181" t="str">
        <f t="shared" si="2"/>
        <v/>
      </c>
      <c r="D15" s="182"/>
      <c r="E15" s="21"/>
      <c r="F15" s="183"/>
      <c r="G15" s="183"/>
      <c r="H15" s="183"/>
      <c r="I15" s="183"/>
      <c r="J15" s="183"/>
      <c r="K15" s="183"/>
      <c r="L15" s="183"/>
      <c r="M15" s="183"/>
      <c r="N15" s="183"/>
      <c r="O15" s="183"/>
      <c r="P15" s="21"/>
      <c r="Q15" s="184"/>
      <c r="R15" s="184"/>
      <c r="S15" s="184"/>
      <c r="T15" s="184"/>
      <c r="U15" s="184"/>
      <c r="V15" s="184"/>
      <c r="W15" s="21"/>
      <c r="X15" s="185"/>
      <c r="Y15" s="185"/>
      <c r="Z15" s="185"/>
      <c r="AA15" s="185"/>
      <c r="AB15" s="185"/>
      <c r="AC15" s="185"/>
      <c r="AD15" s="185"/>
      <c r="AE15" s="185"/>
      <c r="AF15" s="185"/>
      <c r="AG15" s="185"/>
      <c r="AH15" s="21"/>
      <c r="AI15" s="182"/>
      <c r="AJ15" s="182"/>
      <c r="AK15" s="182"/>
      <c r="AL15" s="182"/>
      <c r="AM15" s="182"/>
      <c r="AN15" s="21"/>
      <c r="AO15" s="186"/>
      <c r="AP15" s="186"/>
      <c r="AQ15" s="186"/>
      <c r="AR15" s="23"/>
      <c r="AS15" s="187" t="str">
        <f>IFERROR(AO15*VLOOKUP(AI15,'Look-up'!$CI$3:$CJ$10,2,FALSE),"")</f>
        <v/>
      </c>
      <c r="AT15" s="187"/>
      <c r="AU15" s="187"/>
      <c r="AV15" s="23"/>
      <c r="AW15" s="23"/>
      <c r="AX15" s="22"/>
    </row>
    <row r="16" spans="1:57" s="20" customFormat="1" ht="20.100000000000001" customHeight="1" x14ac:dyDescent="0.25">
      <c r="C16" s="181" t="str">
        <f t="shared" si="2"/>
        <v/>
      </c>
      <c r="D16" s="182"/>
      <c r="E16" s="21"/>
      <c r="F16" s="183"/>
      <c r="G16" s="183"/>
      <c r="H16" s="183"/>
      <c r="I16" s="183"/>
      <c r="J16" s="183"/>
      <c r="K16" s="183"/>
      <c r="L16" s="183"/>
      <c r="M16" s="183"/>
      <c r="N16" s="183"/>
      <c r="O16" s="183"/>
      <c r="P16" s="21"/>
      <c r="Q16" s="184"/>
      <c r="R16" s="184"/>
      <c r="S16" s="184"/>
      <c r="T16" s="184"/>
      <c r="U16" s="184"/>
      <c r="V16" s="184"/>
      <c r="W16" s="21"/>
      <c r="X16" s="185"/>
      <c r="Y16" s="185"/>
      <c r="Z16" s="185"/>
      <c r="AA16" s="185"/>
      <c r="AB16" s="185"/>
      <c r="AC16" s="185"/>
      <c r="AD16" s="185"/>
      <c r="AE16" s="185"/>
      <c r="AF16" s="185"/>
      <c r="AG16" s="185"/>
      <c r="AH16" s="21"/>
      <c r="AI16" s="182"/>
      <c r="AJ16" s="182"/>
      <c r="AK16" s="182"/>
      <c r="AL16" s="182"/>
      <c r="AM16" s="182"/>
      <c r="AN16" s="21"/>
      <c r="AO16" s="186"/>
      <c r="AP16" s="186"/>
      <c r="AQ16" s="186"/>
      <c r="AR16" s="23"/>
      <c r="AS16" s="187" t="str">
        <f>IFERROR(AO16*VLOOKUP(AI16,'Look-up'!$CI$3:$CJ$10,2,FALSE),"")</f>
        <v/>
      </c>
      <c r="AT16" s="187"/>
      <c r="AU16" s="187"/>
      <c r="AV16" s="23"/>
      <c r="AW16" s="23"/>
      <c r="AX16" s="22"/>
    </row>
    <row r="17" spans="3:50" s="20" customFormat="1" ht="20.100000000000001" customHeight="1" x14ac:dyDescent="0.25">
      <c r="C17" s="181" t="str">
        <f t="shared" si="2"/>
        <v/>
      </c>
      <c r="D17" s="182"/>
      <c r="E17" s="21"/>
      <c r="F17" s="183"/>
      <c r="G17" s="183"/>
      <c r="H17" s="183"/>
      <c r="I17" s="183"/>
      <c r="J17" s="183"/>
      <c r="K17" s="183"/>
      <c r="L17" s="183"/>
      <c r="M17" s="183"/>
      <c r="N17" s="183"/>
      <c r="O17" s="183"/>
      <c r="P17" s="21"/>
      <c r="Q17" s="184"/>
      <c r="R17" s="184"/>
      <c r="S17" s="184"/>
      <c r="T17" s="184"/>
      <c r="U17" s="184"/>
      <c r="V17" s="184"/>
      <c r="W17" s="21"/>
      <c r="X17" s="185"/>
      <c r="Y17" s="185"/>
      <c r="Z17" s="185"/>
      <c r="AA17" s="185"/>
      <c r="AB17" s="185"/>
      <c r="AC17" s="185"/>
      <c r="AD17" s="185"/>
      <c r="AE17" s="185"/>
      <c r="AF17" s="185"/>
      <c r="AG17" s="185"/>
      <c r="AH17" s="21"/>
      <c r="AI17" s="182"/>
      <c r="AJ17" s="182"/>
      <c r="AK17" s="182"/>
      <c r="AL17" s="182"/>
      <c r="AM17" s="182"/>
      <c r="AN17" s="21"/>
      <c r="AO17" s="186"/>
      <c r="AP17" s="186"/>
      <c r="AQ17" s="186"/>
      <c r="AR17" s="23"/>
      <c r="AS17" s="187" t="str">
        <f>IFERROR(AO17*VLOOKUP(AI17,'Look-up'!$CI$3:$CJ$10,2,FALSE),"")</f>
        <v/>
      </c>
      <c r="AT17" s="187"/>
      <c r="AU17" s="187"/>
      <c r="AV17" s="23"/>
      <c r="AW17" s="23"/>
      <c r="AX17" s="22"/>
    </row>
  </sheetData>
  <mergeCells count="82">
    <mergeCell ref="AO16:AQ16"/>
    <mergeCell ref="AS16:AU16"/>
    <mergeCell ref="C17:D17"/>
    <mergeCell ref="F17:O17"/>
    <mergeCell ref="Q17:V17"/>
    <mergeCell ref="X17:AG17"/>
    <mergeCell ref="AI17:AM17"/>
    <mergeCell ref="AO17:AQ17"/>
    <mergeCell ref="AS17:AU17"/>
    <mergeCell ref="C16:D16"/>
    <mergeCell ref="F16:O16"/>
    <mergeCell ref="Q16:V16"/>
    <mergeCell ref="X16:AG16"/>
    <mergeCell ref="AI16:AM16"/>
    <mergeCell ref="AS11:AU11"/>
    <mergeCell ref="AS12:AU12"/>
    <mergeCell ref="AS13:AU13"/>
    <mergeCell ref="AS14:AU14"/>
    <mergeCell ref="AS15:AU15"/>
    <mergeCell ref="AS6:AU6"/>
    <mergeCell ref="AS7:AU7"/>
    <mergeCell ref="AS8:AU8"/>
    <mergeCell ref="AS9:AU9"/>
    <mergeCell ref="AS10:AU10"/>
    <mergeCell ref="AO15:AQ15"/>
    <mergeCell ref="C14:D14"/>
    <mergeCell ref="F14:O14"/>
    <mergeCell ref="Q14:V14"/>
    <mergeCell ref="X14:AG14"/>
    <mergeCell ref="AI14:AM14"/>
    <mergeCell ref="AO14:AQ14"/>
    <mergeCell ref="C15:D15"/>
    <mergeCell ref="F15:O15"/>
    <mergeCell ref="Q15:V15"/>
    <mergeCell ref="X15:AG15"/>
    <mergeCell ref="AI15:AM15"/>
    <mergeCell ref="AO13:AQ13"/>
    <mergeCell ref="C12:D12"/>
    <mergeCell ref="F12:O12"/>
    <mergeCell ref="Q12:V12"/>
    <mergeCell ref="X12:AG12"/>
    <mergeCell ref="AI12:AM12"/>
    <mergeCell ref="AO12:AQ12"/>
    <mergeCell ref="C13:D13"/>
    <mergeCell ref="F13:O13"/>
    <mergeCell ref="Q13:V13"/>
    <mergeCell ref="X13:AG13"/>
    <mergeCell ref="AI13:AM13"/>
    <mergeCell ref="AO11:AQ11"/>
    <mergeCell ref="C10:D10"/>
    <mergeCell ref="AI10:AM10"/>
    <mergeCell ref="AO10:AQ10"/>
    <mergeCell ref="C11:D11"/>
    <mergeCell ref="F11:O11"/>
    <mergeCell ref="Q11:V11"/>
    <mergeCell ref="X11:AG11"/>
    <mergeCell ref="AI11:AM11"/>
    <mergeCell ref="AO9:AQ9"/>
    <mergeCell ref="C8:D8"/>
    <mergeCell ref="F8:O8"/>
    <mergeCell ref="Q8:V8"/>
    <mergeCell ref="X8:AG8"/>
    <mergeCell ref="AI8:AM8"/>
    <mergeCell ref="AO8:AQ8"/>
    <mergeCell ref="C9:D9"/>
    <mergeCell ref="F9:O9"/>
    <mergeCell ref="Q9:V9"/>
    <mergeCell ref="X9:AG9"/>
    <mergeCell ref="AI9:AM9"/>
    <mergeCell ref="AO6:AQ6"/>
    <mergeCell ref="C7:D7"/>
    <mergeCell ref="F7:O7"/>
    <mergeCell ref="Q7:V7"/>
    <mergeCell ref="X7:AG7"/>
    <mergeCell ref="AI7:AM7"/>
    <mergeCell ref="AO7:AQ7"/>
    <mergeCell ref="AI6:AM6"/>
    <mergeCell ref="X4:AE4"/>
    <mergeCell ref="C6:D6"/>
    <mergeCell ref="F6:O6"/>
    <mergeCell ref="Q6:V6"/>
    <mergeCell ref="X6:AG6"/>
  </mergeCells>
  <dataValidations count="1">
    <dataValidation type="list" allowBlank="1" showInputMessage="1" showErrorMessage="1" sqref="AI6:AM17" xr:uid="{E9D8EABD-B964-4EB8-A615-5D8E4DDB526C}">
      <formula1>"Daily,Weekly,Bi-Weekly,Monthly,Fortnightly,Quarterly"</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5097729-822B-4EC6-8E72-4B83FD75AE96}">
          <x14:formula1>
            <xm:f>'Look-up'!$E$3:$E$200</xm:f>
          </x14:formula1>
          <xm:sqref>Y6:AG17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DE110"/>
  <sheetViews>
    <sheetView showGridLines="0" tabSelected="1" topLeftCell="B1" workbookViewId="0">
      <selection activeCell="F1" sqref="F1"/>
    </sheetView>
  </sheetViews>
  <sheetFormatPr defaultRowHeight="15" x14ac:dyDescent="0.25"/>
  <cols>
    <col min="1" max="1" width="6.140625" style="86" hidden="1" customWidth="1"/>
    <col min="2" max="2" width="13.42578125" style="86" customWidth="1"/>
    <col min="3" max="3" width="13.5703125" style="86" customWidth="1"/>
    <col min="4" max="4" width="26.140625" style="86" customWidth="1"/>
    <col min="5" max="5" width="35.42578125" style="86" customWidth="1"/>
    <col min="6" max="6" width="9.140625" style="86"/>
    <col min="7" max="8" width="0" style="86" hidden="1" customWidth="1"/>
    <col min="9" max="9" width="9.140625" style="86"/>
    <col min="10" max="10" width="26" style="86" customWidth="1"/>
    <col min="11" max="11" width="7" style="86" customWidth="1"/>
    <col min="12" max="12" width="8.42578125" style="86" bestFit="1" customWidth="1"/>
    <col min="13" max="13" width="20.85546875" style="86" customWidth="1"/>
    <col min="14" max="16384" width="9.140625" style="86"/>
  </cols>
  <sheetData>
    <row r="1" spans="1:109" ht="18.75" x14ac:dyDescent="0.3">
      <c r="B1" s="113" t="s">
        <v>260</v>
      </c>
      <c r="C1" s="111">
        <v>1051586</v>
      </c>
      <c r="D1" s="114" t="str">
        <f>IF(C1="","&lt;=Enter Emp. No.","")</f>
        <v/>
      </c>
      <c r="E1" s="115" t="s">
        <v>267</v>
      </c>
      <c r="F1" s="112">
        <v>22</v>
      </c>
      <c r="G1" s="116"/>
      <c r="H1" s="116"/>
      <c r="I1" s="117" t="str">
        <f>IF(F1="","&lt;=Enter Total days covered","")</f>
        <v/>
      </c>
      <c r="J1" s="118"/>
      <c r="K1" s="119"/>
      <c r="L1" s="119"/>
      <c r="M1" s="120" t="s">
        <v>272</v>
      </c>
      <c r="N1" s="121"/>
      <c r="O1" s="121"/>
      <c r="P1" s="121"/>
      <c r="Q1" s="121"/>
      <c r="R1" s="121"/>
      <c r="S1" s="121"/>
      <c r="T1" s="121"/>
      <c r="U1" s="121"/>
      <c r="V1" s="121"/>
      <c r="W1" s="121"/>
      <c r="X1" s="121"/>
      <c r="Y1" s="121"/>
      <c r="Z1" s="121"/>
      <c r="AA1" s="121"/>
      <c r="AB1" s="121"/>
      <c r="AC1" s="121"/>
      <c r="AD1" s="121"/>
      <c r="AE1" s="121"/>
      <c r="AF1" s="121"/>
      <c r="AG1" s="121"/>
      <c r="AH1" s="121"/>
      <c r="AI1" s="121">
        <f t="shared" ref="AI1:AV1" si="0">AH1+1</f>
        <v>1</v>
      </c>
      <c r="AJ1" s="121">
        <f t="shared" si="0"/>
        <v>2</v>
      </c>
      <c r="AK1" s="121">
        <f t="shared" si="0"/>
        <v>3</v>
      </c>
      <c r="AL1" s="121">
        <f t="shared" si="0"/>
        <v>4</v>
      </c>
      <c r="AM1" s="121">
        <f t="shared" si="0"/>
        <v>5</v>
      </c>
      <c r="AN1" s="121">
        <f t="shared" si="0"/>
        <v>6</v>
      </c>
      <c r="AO1" s="121">
        <f t="shared" si="0"/>
        <v>7</v>
      </c>
      <c r="AP1" s="121">
        <f t="shared" si="0"/>
        <v>8</v>
      </c>
      <c r="AQ1" s="121">
        <f t="shared" si="0"/>
        <v>9</v>
      </c>
      <c r="AR1" s="121">
        <f t="shared" si="0"/>
        <v>10</v>
      </c>
      <c r="AS1" s="121">
        <f t="shared" si="0"/>
        <v>11</v>
      </c>
      <c r="AT1" s="121">
        <f t="shared" si="0"/>
        <v>12</v>
      </c>
      <c r="AU1" s="121">
        <f t="shared" si="0"/>
        <v>13</v>
      </c>
      <c r="AV1" s="121">
        <f t="shared" si="0"/>
        <v>14</v>
      </c>
      <c r="AW1" s="83"/>
      <c r="AY1" s="121"/>
      <c r="AZ1" s="121"/>
      <c r="BA1" s="121"/>
      <c r="BB1" s="121"/>
      <c r="BE1" s="121">
        <f>BD1+1</f>
        <v>1</v>
      </c>
      <c r="BF1" s="121">
        <f>BE1+1</f>
        <v>2</v>
      </c>
      <c r="BG1" s="121"/>
      <c r="BH1" s="121"/>
      <c r="BI1" s="121"/>
      <c r="BJ1" s="121"/>
      <c r="BK1" s="121"/>
      <c r="BL1" s="121"/>
      <c r="BM1" s="121"/>
      <c r="BN1" s="121"/>
      <c r="BO1" s="121"/>
      <c r="BP1" s="121"/>
      <c r="BQ1" s="121"/>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f>BC1+1</f>
        <v>1</v>
      </c>
      <c r="CT1" s="121">
        <f t="shared" ref="CT1:CY1" si="1">CS1+1</f>
        <v>2</v>
      </c>
      <c r="CU1" s="121">
        <f t="shared" si="1"/>
        <v>3</v>
      </c>
      <c r="CV1" s="121">
        <f t="shared" si="1"/>
        <v>4</v>
      </c>
      <c r="CW1" s="121">
        <f t="shared" si="1"/>
        <v>5</v>
      </c>
      <c r="CX1" s="121">
        <f t="shared" si="1"/>
        <v>6</v>
      </c>
      <c r="CY1" s="121">
        <f t="shared" si="1"/>
        <v>7</v>
      </c>
      <c r="DC1" s="121"/>
      <c r="DD1" s="121"/>
      <c r="DE1" s="122"/>
    </row>
    <row r="2" spans="1:109" ht="23.25" x14ac:dyDescent="0.35">
      <c r="B2" s="113" t="s">
        <v>261</v>
      </c>
      <c r="C2" s="111" t="s">
        <v>371</v>
      </c>
      <c r="D2" s="114" t="str">
        <f>IF(C2="","&lt;=Enter Job Level","")</f>
        <v/>
      </c>
      <c r="E2" s="123" t="s">
        <v>268</v>
      </c>
      <c r="F2" s="124">
        <f>F1*8.8</f>
        <v>193.60000000000002</v>
      </c>
      <c r="G2" s="116"/>
      <c r="H2" s="116"/>
      <c r="L2" s="125"/>
      <c r="N2" s="126"/>
      <c r="O2" s="127"/>
      <c r="P2" s="127"/>
      <c r="AS2" s="128"/>
      <c r="AT2" s="128"/>
      <c r="AU2" s="128"/>
      <c r="AW2" s="129"/>
      <c r="AX2" s="128"/>
      <c r="AY2" s="127"/>
      <c r="AZ2" s="127"/>
      <c r="BA2" s="127"/>
      <c r="BB2" s="127"/>
      <c r="BC2" s="129"/>
      <c r="BD2" s="128"/>
      <c r="BE2" s="127"/>
      <c r="BF2" s="127"/>
      <c r="BG2" s="127"/>
      <c r="BH2" s="127"/>
      <c r="BI2" s="127"/>
      <c r="BJ2" s="127"/>
      <c r="BK2" s="127"/>
      <c r="BL2" s="127"/>
      <c r="BM2" s="127"/>
      <c r="BN2" s="127"/>
      <c r="BO2" s="127"/>
      <c r="BP2" s="127"/>
      <c r="BQ2" s="127"/>
      <c r="BR2" s="127"/>
      <c r="BS2" s="127"/>
      <c r="BT2" s="127"/>
      <c r="BU2" s="127"/>
      <c r="BV2" s="127"/>
      <c r="BW2" s="127"/>
      <c r="BX2" s="127"/>
      <c r="BY2" s="127"/>
      <c r="BZ2" s="127"/>
      <c r="CA2" s="127"/>
      <c r="CB2" s="127"/>
      <c r="CC2" s="127"/>
      <c r="CD2" s="127"/>
      <c r="CE2" s="127"/>
      <c r="CF2" s="127"/>
      <c r="CG2" s="127"/>
      <c r="CH2" s="127"/>
      <c r="CI2" s="127"/>
      <c r="CJ2" s="127"/>
      <c r="CK2" s="127"/>
      <c r="CL2" s="127"/>
      <c r="CM2" s="127"/>
      <c r="CN2" s="127"/>
      <c r="CO2" s="127"/>
      <c r="CP2" s="127"/>
      <c r="CQ2" s="127"/>
      <c r="CR2" s="127"/>
      <c r="CS2" s="127"/>
      <c r="CU2" s="130"/>
      <c r="CV2" s="127"/>
      <c r="DD2" s="83"/>
      <c r="DE2" s="128"/>
    </row>
    <row r="3" spans="1:109" ht="22.5" customHeight="1" x14ac:dyDescent="0.3">
      <c r="B3" s="113"/>
      <c r="C3" s="116"/>
      <c r="D3" s="131"/>
      <c r="E3" s="132" t="s">
        <v>271</v>
      </c>
      <c r="F3" s="133">
        <f>SUMIFS(F5:F496,D5:D496,"&lt;&gt;",B5:B496,"&lt;&gt;Yes")</f>
        <v>0</v>
      </c>
      <c r="G3" s="134"/>
      <c r="H3" s="134"/>
      <c r="I3" s="135">
        <f>IFERROR(SUMIFS(I5:I496,D5:D496,"&lt;&gt;"),"")</f>
        <v>1.0965909090909089</v>
      </c>
      <c r="J3" s="130" t="s">
        <v>258</v>
      </c>
      <c r="M3" s="136">
        <f>COUNTIF(M5:M496,"=&lt;= Enter Remarks")+COUNTIF(M5:M496,"=&lt;=Enter Hours spent")</f>
        <v>1</v>
      </c>
      <c r="BG3" s="128"/>
      <c r="BH3" s="128"/>
      <c r="BI3" s="128"/>
      <c r="BJ3" s="128"/>
      <c r="BK3" s="128"/>
      <c r="BL3" s="128"/>
      <c r="BM3" s="128"/>
      <c r="BN3" s="128"/>
      <c r="BO3" s="128"/>
      <c r="BP3" s="128"/>
      <c r="BQ3" s="128"/>
      <c r="BR3" s="128"/>
      <c r="BS3" s="128"/>
      <c r="BT3" s="128"/>
      <c r="BU3" s="128"/>
      <c r="BV3" s="128"/>
      <c r="BW3" s="128"/>
      <c r="BX3" s="128"/>
      <c r="BY3" s="128"/>
      <c r="BZ3" s="128"/>
      <c r="CA3" s="128"/>
      <c r="CB3" s="128"/>
      <c r="CC3" s="128"/>
      <c r="CD3" s="128"/>
      <c r="CE3" s="128"/>
      <c r="CF3" s="128"/>
      <c r="CG3" s="128"/>
      <c r="CH3" s="128"/>
      <c r="CI3" s="128"/>
      <c r="CJ3" s="128"/>
      <c r="CK3" s="128"/>
      <c r="CL3" s="128"/>
      <c r="CM3" s="128"/>
      <c r="CN3" s="128"/>
      <c r="CO3" s="128"/>
      <c r="CP3" s="128"/>
      <c r="CQ3" s="128"/>
      <c r="CR3" s="128"/>
      <c r="CS3" s="128"/>
      <c r="DD3" s="83"/>
      <c r="DE3" s="128"/>
    </row>
    <row r="4" spans="1:109" ht="45" x14ac:dyDescent="0.25">
      <c r="A4" s="137"/>
      <c r="B4" s="138" t="s">
        <v>270</v>
      </c>
      <c r="C4" s="138" t="s">
        <v>262</v>
      </c>
      <c r="D4" s="139" t="s">
        <v>263</v>
      </c>
      <c r="E4" s="139" t="s">
        <v>166</v>
      </c>
      <c r="F4" s="140" t="s">
        <v>259</v>
      </c>
      <c r="G4" s="141"/>
      <c r="H4" s="141"/>
      <c r="I4" s="138" t="s">
        <v>171</v>
      </c>
      <c r="J4" s="138" t="s">
        <v>23</v>
      </c>
      <c r="K4" s="142" t="s">
        <v>231</v>
      </c>
      <c r="L4" s="142" t="s">
        <v>232</v>
      </c>
      <c r="M4" s="143"/>
      <c r="DC4" s="144"/>
      <c r="DD4" s="144"/>
      <c r="DE4" s="145"/>
    </row>
    <row r="5" spans="1:109" ht="30" customHeight="1" x14ac:dyDescent="0.25">
      <c r="B5" s="152" t="s">
        <v>372</v>
      </c>
      <c r="C5" s="153" t="s">
        <v>6</v>
      </c>
      <c r="D5" s="154" t="s">
        <v>51</v>
      </c>
      <c r="E5" s="155" t="s">
        <v>53</v>
      </c>
      <c r="F5" s="156">
        <v>32</v>
      </c>
      <c r="G5" s="146"/>
      <c r="H5" s="146"/>
      <c r="I5" s="147">
        <f>IFERROR(IF(C5&lt;&gt;"",IF(B5="Yes",(F5/176),(F5/$F$1)*22/176),""),"")</f>
        <v>0.18181818181818182</v>
      </c>
      <c r="J5" s="157"/>
      <c r="K5" s="148" t="str">
        <f t="shared" ref="K5" si="2">IF(C5&lt;&gt;"",$C$2,"")</f>
        <v>JL5</v>
      </c>
      <c r="L5" s="148">
        <f t="shared" ref="L5" si="3">IF(C5&lt;&gt;"",$C$1,"")</f>
        <v>1051586</v>
      </c>
      <c r="M5" s="149" t="str">
        <f>IF(AND(D5&lt;&gt;"",F5&lt;=0),"&lt;=Enter Hours spent",IF(AND(D5="Others",J5=""),"&lt;= Enter Remarks",IF(AND(C5="Agile",E5=""),"&lt;=Enter Sub-Task","")))</f>
        <v/>
      </c>
      <c r="Q5" s="150"/>
      <c r="R5" s="150"/>
      <c r="S5" s="150"/>
      <c r="BG5" s="150"/>
      <c r="BH5" s="150"/>
      <c r="BI5" s="150"/>
      <c r="BJ5" s="150"/>
      <c r="BK5" s="150"/>
      <c r="BL5" s="150"/>
      <c r="BM5" s="150"/>
      <c r="BN5" s="150"/>
      <c r="BO5" s="150"/>
      <c r="BP5" s="150"/>
      <c r="BQ5" s="150"/>
      <c r="BR5" s="150"/>
      <c r="BS5" s="150"/>
      <c r="BT5" s="150"/>
      <c r="BU5" s="150"/>
      <c r="BV5" s="150"/>
      <c r="BW5" s="150"/>
      <c r="BX5" s="150"/>
      <c r="BY5" s="150"/>
      <c r="BZ5" s="150"/>
      <c r="CA5" s="150"/>
      <c r="CB5" s="150"/>
      <c r="CC5" s="150"/>
      <c r="CD5" s="150"/>
      <c r="CE5" s="150"/>
      <c r="CF5" s="150"/>
      <c r="CG5" s="150"/>
      <c r="CH5" s="150"/>
      <c r="CI5" s="150"/>
      <c r="CJ5" s="150"/>
      <c r="CK5" s="150"/>
      <c r="CL5" s="150"/>
      <c r="CM5" s="150"/>
      <c r="CN5" s="150"/>
      <c r="CO5" s="150"/>
      <c r="CP5" s="150"/>
      <c r="CQ5" s="150"/>
      <c r="CR5" s="150"/>
      <c r="CS5" s="150"/>
      <c r="DE5" s="150"/>
    </row>
    <row r="6" spans="1:109" ht="30" customHeight="1" x14ac:dyDescent="0.25">
      <c r="B6" s="152" t="s">
        <v>372</v>
      </c>
      <c r="C6" s="153" t="s">
        <v>334</v>
      </c>
      <c r="D6" s="154" t="s">
        <v>345</v>
      </c>
      <c r="E6" s="155" t="s">
        <v>237</v>
      </c>
      <c r="F6" s="156">
        <v>22</v>
      </c>
      <c r="G6" s="146"/>
      <c r="H6" s="146"/>
      <c r="I6" s="147">
        <f t="shared" ref="I6:I69" si="4">IFERROR(IF(C6&lt;&gt;"",IF(B6="Yes",(F6/176),(F6/$F$1)*22/176),""),"")</f>
        <v>0.125</v>
      </c>
      <c r="J6" s="157"/>
      <c r="K6" s="148" t="str">
        <f t="shared" ref="K6:K69" si="5">IF(C6&lt;&gt;"",$C$2,"")</f>
        <v>JL5</v>
      </c>
      <c r="L6" s="148">
        <f t="shared" ref="L6:L69" si="6">IF(C6&lt;&gt;"",$C$1,"")</f>
        <v>1051586</v>
      </c>
      <c r="M6" s="149" t="str">
        <f t="shared" ref="M6:M69" si="7">IF(AND(D6&lt;&gt;"",F6&lt;=0),"&lt;=Enter Hours spent",IF(AND(D6="Others",J6=""),"&lt;= Enter Remarks",IF(AND(C6="Agile",E6=""),"&lt;=Enter Sub-Task","")))</f>
        <v/>
      </c>
      <c r="Q6" s="150"/>
      <c r="R6" s="150"/>
      <c r="S6" s="150"/>
      <c r="BG6" s="150"/>
      <c r="BH6" s="150"/>
      <c r="BI6" s="150"/>
      <c r="BJ6" s="150"/>
      <c r="BK6" s="150"/>
      <c r="BL6" s="150"/>
      <c r="BM6" s="150"/>
      <c r="BN6" s="150"/>
      <c r="BO6" s="150"/>
      <c r="BP6" s="150"/>
      <c r="BQ6" s="150"/>
      <c r="BR6" s="150"/>
      <c r="BS6" s="150"/>
      <c r="BT6" s="150"/>
      <c r="BU6" s="150"/>
      <c r="BV6" s="150"/>
      <c r="BW6" s="150"/>
      <c r="BX6" s="150"/>
      <c r="BY6" s="150"/>
      <c r="BZ6" s="150"/>
      <c r="CA6" s="150"/>
      <c r="CB6" s="150"/>
      <c r="CC6" s="150"/>
      <c r="CD6" s="150"/>
      <c r="CE6" s="150"/>
      <c r="CF6" s="150"/>
      <c r="CG6" s="150"/>
      <c r="CH6" s="150"/>
      <c r="CI6" s="150"/>
      <c r="CJ6" s="150"/>
      <c r="CK6" s="150"/>
      <c r="CL6" s="150"/>
      <c r="CM6" s="150"/>
      <c r="CN6" s="150"/>
      <c r="CO6" s="150"/>
      <c r="CP6" s="150"/>
      <c r="CQ6" s="150"/>
      <c r="CR6" s="150"/>
      <c r="CS6" s="150"/>
      <c r="DE6" s="150"/>
    </row>
    <row r="7" spans="1:109" ht="30" customHeight="1" x14ac:dyDescent="0.25">
      <c r="B7" s="152" t="s">
        <v>372</v>
      </c>
      <c r="C7" s="153" t="s">
        <v>334</v>
      </c>
      <c r="D7" s="154" t="s">
        <v>338</v>
      </c>
      <c r="E7" s="155" t="s">
        <v>251</v>
      </c>
      <c r="F7" s="156">
        <v>10</v>
      </c>
      <c r="G7" s="146"/>
      <c r="H7" s="146"/>
      <c r="I7" s="147">
        <f t="shared" si="4"/>
        <v>5.6818181818181816E-2</v>
      </c>
      <c r="J7" s="157"/>
      <c r="K7" s="148" t="str">
        <f t="shared" si="5"/>
        <v>JL5</v>
      </c>
      <c r="L7" s="148">
        <f t="shared" si="6"/>
        <v>1051586</v>
      </c>
      <c r="M7" s="149" t="str">
        <f t="shared" si="7"/>
        <v/>
      </c>
      <c r="Q7" s="150"/>
      <c r="R7" s="150"/>
      <c r="S7" s="150"/>
      <c r="BG7" s="150"/>
      <c r="BH7" s="150"/>
      <c r="BI7" s="150"/>
      <c r="BJ7" s="150"/>
      <c r="BK7" s="150"/>
      <c r="BL7" s="150"/>
      <c r="BM7" s="150"/>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DE7" s="150"/>
    </row>
    <row r="8" spans="1:109" ht="30" customHeight="1" x14ac:dyDescent="0.25">
      <c r="B8" s="152" t="s">
        <v>372</v>
      </c>
      <c r="C8" s="153" t="s">
        <v>273</v>
      </c>
      <c r="D8" s="154" t="s">
        <v>301</v>
      </c>
      <c r="E8" s="155" t="s">
        <v>282</v>
      </c>
      <c r="F8" s="156">
        <v>4</v>
      </c>
      <c r="G8" s="146"/>
      <c r="H8" s="146"/>
      <c r="I8" s="147">
        <f t="shared" si="4"/>
        <v>2.2727272727272728E-2</v>
      </c>
      <c r="J8" s="157"/>
      <c r="K8" s="148" t="str">
        <f t="shared" si="5"/>
        <v>JL5</v>
      </c>
      <c r="L8" s="148">
        <f t="shared" si="6"/>
        <v>1051586</v>
      </c>
      <c r="M8" s="149" t="str">
        <f t="shared" si="7"/>
        <v/>
      </c>
      <c r="Q8" s="150"/>
      <c r="R8" s="150"/>
      <c r="S8" s="150"/>
      <c r="BG8" s="150"/>
      <c r="BH8" s="150"/>
      <c r="BI8" s="150"/>
      <c r="BJ8" s="150"/>
      <c r="BK8" s="150"/>
      <c r="BL8" s="150"/>
      <c r="BM8" s="150"/>
      <c r="BN8" s="150"/>
      <c r="BO8" s="150"/>
      <c r="BP8" s="150"/>
      <c r="BQ8" s="150"/>
      <c r="BR8" s="150"/>
      <c r="BS8" s="150"/>
      <c r="BT8" s="150"/>
      <c r="BU8" s="150"/>
      <c r="BV8" s="150"/>
      <c r="BW8" s="150"/>
      <c r="BX8" s="150"/>
      <c r="BY8" s="150"/>
      <c r="BZ8" s="150"/>
      <c r="CA8" s="150"/>
      <c r="CB8" s="150"/>
      <c r="CC8" s="150"/>
      <c r="CD8" s="150"/>
      <c r="CE8" s="150"/>
      <c r="CF8" s="150"/>
      <c r="CG8" s="150"/>
      <c r="CH8" s="150"/>
      <c r="CI8" s="150"/>
      <c r="CJ8" s="150"/>
      <c r="CK8" s="150"/>
      <c r="CL8" s="150"/>
      <c r="CM8" s="150"/>
      <c r="CN8" s="150"/>
      <c r="CO8" s="150"/>
      <c r="CP8" s="150"/>
      <c r="CQ8" s="150"/>
      <c r="CR8" s="150"/>
      <c r="CS8" s="150"/>
      <c r="DE8" s="150"/>
    </row>
    <row r="9" spans="1:109" ht="30" customHeight="1" x14ac:dyDescent="0.25">
      <c r="B9" s="152" t="s">
        <v>372</v>
      </c>
      <c r="C9" s="153" t="s">
        <v>5</v>
      </c>
      <c r="D9" s="154" t="s">
        <v>188</v>
      </c>
      <c r="E9" s="155" t="s">
        <v>201</v>
      </c>
      <c r="F9" s="156">
        <v>20</v>
      </c>
      <c r="G9" s="146"/>
      <c r="H9" s="146"/>
      <c r="I9" s="147">
        <f t="shared" si="4"/>
        <v>0.11363636363636363</v>
      </c>
      <c r="J9" s="157"/>
      <c r="K9" s="148" t="str">
        <f t="shared" si="5"/>
        <v>JL5</v>
      </c>
      <c r="L9" s="148">
        <f t="shared" si="6"/>
        <v>1051586</v>
      </c>
      <c r="M9" s="149" t="str">
        <f t="shared" si="7"/>
        <v/>
      </c>
      <c r="Q9" s="150"/>
      <c r="R9" s="150"/>
      <c r="S9" s="150"/>
      <c r="BG9" s="150"/>
      <c r="BH9" s="150"/>
      <c r="BI9" s="150"/>
      <c r="BJ9" s="150"/>
      <c r="BK9" s="150"/>
      <c r="BL9" s="150"/>
      <c r="BM9" s="150"/>
      <c r="BN9" s="150"/>
      <c r="BO9" s="150"/>
      <c r="BP9" s="150"/>
      <c r="BQ9" s="150"/>
      <c r="BR9" s="150"/>
      <c r="BS9" s="150"/>
      <c r="BT9" s="150"/>
      <c r="BU9" s="150"/>
      <c r="BV9" s="150"/>
      <c r="BW9" s="150"/>
      <c r="BX9" s="150"/>
      <c r="BY9" s="150"/>
      <c r="BZ9" s="150"/>
      <c r="CA9" s="150"/>
      <c r="CB9" s="150"/>
      <c r="CC9" s="150"/>
      <c r="CD9" s="150"/>
      <c r="CE9" s="150"/>
      <c r="CF9" s="150"/>
      <c r="CG9" s="150"/>
      <c r="CH9" s="150"/>
      <c r="CI9" s="150"/>
      <c r="CJ9" s="150"/>
      <c r="CK9" s="150"/>
      <c r="CL9" s="150"/>
      <c r="CM9" s="150"/>
      <c r="CN9" s="150"/>
      <c r="CO9" s="150"/>
      <c r="CP9" s="150"/>
      <c r="CQ9" s="150"/>
      <c r="CR9" s="150"/>
      <c r="CS9" s="150"/>
      <c r="DE9" s="150"/>
    </row>
    <row r="10" spans="1:109" ht="30" customHeight="1" x14ac:dyDescent="0.25">
      <c r="B10" s="152" t="s">
        <v>372</v>
      </c>
      <c r="C10" s="153" t="s">
        <v>6</v>
      </c>
      <c r="D10" s="154" t="s">
        <v>13</v>
      </c>
      <c r="E10" s="155" t="s">
        <v>47</v>
      </c>
      <c r="F10" s="156">
        <v>60</v>
      </c>
      <c r="G10" s="146"/>
      <c r="H10" s="146"/>
      <c r="I10" s="147">
        <f t="shared" si="4"/>
        <v>0.34090909090909088</v>
      </c>
      <c r="J10" s="157"/>
      <c r="K10" s="148" t="str">
        <f t="shared" si="5"/>
        <v>JL5</v>
      </c>
      <c r="L10" s="148">
        <f t="shared" si="6"/>
        <v>1051586</v>
      </c>
      <c r="M10" s="149" t="str">
        <f t="shared" si="7"/>
        <v/>
      </c>
      <c r="Q10" s="150"/>
      <c r="R10" s="150"/>
      <c r="S10" s="150"/>
      <c r="BG10" s="150"/>
      <c r="BH10" s="150"/>
      <c r="BI10" s="150"/>
      <c r="BJ10" s="150"/>
      <c r="BK10" s="150"/>
      <c r="BL10" s="150"/>
      <c r="BM10" s="150"/>
      <c r="BN10" s="150"/>
      <c r="BO10" s="150"/>
      <c r="BP10" s="150"/>
      <c r="BQ10" s="150"/>
      <c r="BR10" s="150"/>
      <c r="BS10" s="150"/>
      <c r="BT10" s="150"/>
      <c r="BU10" s="150"/>
      <c r="BV10" s="150"/>
      <c r="BW10" s="150"/>
      <c r="BX10" s="150"/>
      <c r="BY10" s="150"/>
      <c r="BZ10" s="150"/>
      <c r="CA10" s="150"/>
      <c r="CB10" s="150"/>
      <c r="CC10" s="150"/>
      <c r="CD10" s="150"/>
      <c r="CE10" s="150"/>
      <c r="CF10" s="150"/>
      <c r="CG10" s="150"/>
      <c r="CH10" s="150"/>
      <c r="CI10" s="150"/>
      <c r="CJ10" s="150"/>
      <c r="CK10" s="150"/>
      <c r="CL10" s="150"/>
      <c r="CM10" s="150"/>
      <c r="CN10" s="150"/>
      <c r="CO10" s="150"/>
      <c r="CP10" s="150"/>
      <c r="CQ10" s="150"/>
      <c r="CR10" s="150"/>
      <c r="CS10" s="150"/>
      <c r="DE10" s="150"/>
    </row>
    <row r="11" spans="1:109" ht="30" customHeight="1" x14ac:dyDescent="0.25">
      <c r="B11" s="152" t="s">
        <v>372</v>
      </c>
      <c r="C11" s="153" t="s">
        <v>6</v>
      </c>
      <c r="D11" s="154" t="s">
        <v>178</v>
      </c>
      <c r="E11" s="155"/>
      <c r="F11" s="156">
        <v>45</v>
      </c>
      <c r="G11" s="146"/>
      <c r="H11" s="146"/>
      <c r="I11" s="147">
        <f t="shared" si="4"/>
        <v>0.25568181818181818</v>
      </c>
      <c r="J11" s="157"/>
      <c r="K11" s="148" t="str">
        <f t="shared" si="5"/>
        <v>JL5</v>
      </c>
      <c r="L11" s="148">
        <f t="shared" si="6"/>
        <v>1051586</v>
      </c>
      <c r="M11" s="149" t="str">
        <f t="shared" si="7"/>
        <v>&lt;= Enter Remarks</v>
      </c>
      <c r="Q11" s="150"/>
      <c r="R11" s="150"/>
      <c r="S11" s="150"/>
      <c r="BG11" s="150"/>
      <c r="BH11" s="150"/>
      <c r="BI11" s="150"/>
      <c r="BJ11" s="150"/>
      <c r="BK11" s="150"/>
      <c r="BL11" s="150"/>
      <c r="BM11" s="150"/>
      <c r="BN11" s="150"/>
      <c r="BO11" s="150"/>
      <c r="BP11" s="150"/>
      <c r="BQ11" s="150"/>
      <c r="BR11" s="150"/>
      <c r="BS11" s="150"/>
      <c r="BT11" s="150"/>
      <c r="BU11" s="150"/>
      <c r="BV11" s="150"/>
      <c r="BW11" s="150"/>
      <c r="BX11" s="150"/>
      <c r="BY11" s="150"/>
      <c r="BZ11" s="150"/>
      <c r="CA11" s="150"/>
      <c r="CB11" s="150"/>
      <c r="CC11" s="150"/>
      <c r="CD11" s="150"/>
      <c r="CE11" s="150"/>
      <c r="CF11" s="150"/>
      <c r="CG11" s="150"/>
      <c r="CH11" s="150"/>
      <c r="CI11" s="150"/>
      <c r="CJ11" s="150"/>
      <c r="CK11" s="150"/>
      <c r="CL11" s="150"/>
      <c r="CM11" s="150"/>
      <c r="CN11" s="150"/>
      <c r="CO11" s="150"/>
      <c r="CP11" s="150"/>
      <c r="CQ11" s="150"/>
      <c r="CR11" s="150"/>
      <c r="CS11" s="150"/>
      <c r="DE11" s="150"/>
    </row>
    <row r="12" spans="1:109" ht="30" customHeight="1" x14ac:dyDescent="0.25">
      <c r="B12" s="152"/>
      <c r="C12" s="153"/>
      <c r="D12" s="154"/>
      <c r="E12" s="155"/>
      <c r="F12" s="156"/>
      <c r="G12" s="146"/>
      <c r="H12" s="146"/>
      <c r="I12" s="147" t="str">
        <f t="shared" si="4"/>
        <v/>
      </c>
      <c r="J12" s="157"/>
      <c r="K12" s="148" t="str">
        <f t="shared" si="5"/>
        <v/>
      </c>
      <c r="L12" s="148" t="str">
        <f t="shared" si="6"/>
        <v/>
      </c>
      <c r="M12" s="149" t="str">
        <f t="shared" si="7"/>
        <v/>
      </c>
      <c r="Q12" s="150"/>
      <c r="R12" s="150"/>
      <c r="S12" s="150"/>
      <c r="BG12" s="150"/>
      <c r="BH12" s="150"/>
      <c r="BI12" s="150"/>
      <c r="BJ12" s="150"/>
      <c r="BK12" s="150"/>
      <c r="BL12" s="150"/>
      <c r="BM12" s="150"/>
      <c r="BN12" s="150"/>
      <c r="BO12" s="150"/>
      <c r="BP12" s="150"/>
      <c r="BQ12" s="150"/>
      <c r="BR12" s="150"/>
      <c r="BS12" s="150"/>
      <c r="BT12" s="150"/>
      <c r="BU12" s="150"/>
      <c r="BV12" s="150"/>
      <c r="BW12" s="150"/>
      <c r="BX12" s="150"/>
      <c r="BY12" s="150"/>
      <c r="BZ12" s="150"/>
      <c r="CA12" s="150"/>
      <c r="CB12" s="150"/>
      <c r="CC12" s="150"/>
      <c r="CD12" s="150"/>
      <c r="CE12" s="150"/>
      <c r="CF12" s="150"/>
      <c r="CG12" s="150"/>
      <c r="CH12" s="150"/>
      <c r="CI12" s="150"/>
      <c r="CJ12" s="150"/>
      <c r="CK12" s="150"/>
      <c r="CL12" s="150"/>
      <c r="CM12" s="150"/>
      <c r="CN12" s="150"/>
      <c r="CO12" s="150"/>
      <c r="CP12" s="150"/>
      <c r="CQ12" s="150"/>
      <c r="CR12" s="150"/>
      <c r="CS12" s="150"/>
      <c r="DE12" s="150"/>
    </row>
    <row r="13" spans="1:109" ht="30" customHeight="1" x14ac:dyDescent="0.25">
      <c r="B13" s="152"/>
      <c r="C13" s="153"/>
      <c r="D13" s="154"/>
      <c r="E13" s="155"/>
      <c r="F13" s="156"/>
      <c r="G13" s="146"/>
      <c r="H13" s="146"/>
      <c r="I13" s="147" t="str">
        <f t="shared" si="4"/>
        <v/>
      </c>
      <c r="J13" s="157"/>
      <c r="K13" s="148" t="str">
        <f t="shared" si="5"/>
        <v/>
      </c>
      <c r="L13" s="148" t="str">
        <f t="shared" si="6"/>
        <v/>
      </c>
      <c r="M13" s="149" t="str">
        <f t="shared" si="7"/>
        <v/>
      </c>
      <c r="Q13" s="150"/>
      <c r="R13" s="150"/>
      <c r="S13" s="150"/>
      <c r="BG13" s="150"/>
      <c r="BH13" s="150"/>
      <c r="BI13" s="150"/>
      <c r="BJ13" s="150"/>
      <c r="BK13" s="150"/>
      <c r="BL13" s="150"/>
      <c r="BM13" s="150"/>
      <c r="BN13" s="150"/>
      <c r="BO13" s="150"/>
      <c r="BP13" s="150"/>
      <c r="BQ13" s="150"/>
      <c r="BR13" s="150"/>
      <c r="BS13" s="150"/>
      <c r="BT13" s="150"/>
      <c r="BU13" s="150"/>
      <c r="BV13" s="150"/>
      <c r="BW13" s="150"/>
      <c r="BX13" s="150"/>
      <c r="BY13" s="150"/>
      <c r="BZ13" s="150"/>
      <c r="CA13" s="150"/>
      <c r="CB13" s="150"/>
      <c r="CC13" s="150"/>
      <c r="CD13" s="150"/>
      <c r="CE13" s="150"/>
      <c r="CF13" s="150"/>
      <c r="CG13" s="150"/>
      <c r="CH13" s="150"/>
      <c r="CI13" s="150"/>
      <c r="CJ13" s="150"/>
      <c r="CK13" s="150"/>
      <c r="CL13" s="150"/>
      <c r="CM13" s="150"/>
      <c r="CN13" s="150"/>
      <c r="CO13" s="150"/>
      <c r="CP13" s="150"/>
      <c r="CQ13" s="150"/>
      <c r="CR13" s="150"/>
      <c r="CS13" s="150"/>
      <c r="DE13" s="150"/>
    </row>
    <row r="14" spans="1:109" ht="30" customHeight="1" x14ac:dyDescent="0.25">
      <c r="B14" s="152"/>
      <c r="C14" s="153"/>
      <c r="D14" s="154"/>
      <c r="E14" s="155"/>
      <c r="F14" s="156"/>
      <c r="G14" s="146"/>
      <c r="H14" s="146"/>
      <c r="I14" s="147" t="str">
        <f t="shared" si="4"/>
        <v/>
      </c>
      <c r="J14" s="157"/>
      <c r="K14" s="148" t="str">
        <f t="shared" si="5"/>
        <v/>
      </c>
      <c r="L14" s="148" t="str">
        <f t="shared" si="6"/>
        <v/>
      </c>
      <c r="M14" s="149" t="str">
        <f t="shared" si="7"/>
        <v/>
      </c>
      <c r="Q14" s="150"/>
      <c r="R14" s="150"/>
      <c r="S14" s="150"/>
      <c r="BG14" s="150"/>
      <c r="BH14" s="150"/>
      <c r="BI14" s="150"/>
      <c r="BJ14" s="150"/>
      <c r="BK14" s="150"/>
      <c r="BL14" s="150"/>
      <c r="BM14" s="150"/>
      <c r="BN14" s="150"/>
      <c r="BO14" s="150"/>
      <c r="BP14" s="150"/>
      <c r="BQ14" s="150"/>
      <c r="BR14" s="150"/>
      <c r="BS14" s="150"/>
      <c r="BT14" s="150"/>
      <c r="BU14" s="150"/>
      <c r="BV14" s="150"/>
      <c r="BW14" s="150"/>
      <c r="BX14" s="150"/>
      <c r="BY14" s="150"/>
      <c r="BZ14" s="150"/>
      <c r="CA14" s="150"/>
      <c r="CB14" s="150"/>
      <c r="CC14" s="150"/>
      <c r="CD14" s="150"/>
      <c r="CE14" s="150"/>
      <c r="CF14" s="150"/>
      <c r="CG14" s="150"/>
      <c r="CH14" s="150"/>
      <c r="CI14" s="150"/>
      <c r="CJ14" s="150"/>
      <c r="CK14" s="150"/>
      <c r="CL14" s="150"/>
      <c r="CM14" s="150"/>
      <c r="CN14" s="150"/>
      <c r="CO14" s="150"/>
      <c r="CP14" s="150"/>
      <c r="CQ14" s="150"/>
      <c r="CR14" s="150"/>
      <c r="CS14" s="150"/>
      <c r="DE14" s="150"/>
    </row>
    <row r="15" spans="1:109" ht="30" customHeight="1" x14ac:dyDescent="0.25">
      <c r="B15" s="152"/>
      <c r="C15" s="153"/>
      <c r="D15" s="154"/>
      <c r="E15" s="155"/>
      <c r="F15" s="156"/>
      <c r="G15" s="146"/>
      <c r="H15" s="146"/>
      <c r="I15" s="147" t="str">
        <f t="shared" si="4"/>
        <v/>
      </c>
      <c r="J15" s="157"/>
      <c r="K15" s="148" t="str">
        <f t="shared" si="5"/>
        <v/>
      </c>
      <c r="L15" s="148" t="str">
        <f t="shared" si="6"/>
        <v/>
      </c>
      <c r="M15" s="149" t="str">
        <f t="shared" si="7"/>
        <v/>
      </c>
      <c r="Q15" s="150"/>
      <c r="R15" s="150"/>
      <c r="S15" s="150"/>
      <c r="BG15" s="150"/>
      <c r="BH15" s="150"/>
      <c r="BI15" s="150"/>
      <c r="BJ15" s="150"/>
      <c r="BK15" s="150"/>
      <c r="BL15" s="150"/>
      <c r="BM15" s="150"/>
      <c r="BN15" s="150"/>
      <c r="BO15" s="150"/>
      <c r="BP15" s="150"/>
      <c r="BQ15" s="150"/>
      <c r="BR15" s="150"/>
      <c r="BS15" s="150"/>
      <c r="BT15" s="150"/>
      <c r="BU15" s="150"/>
      <c r="BV15" s="150"/>
      <c r="BW15" s="150"/>
      <c r="BX15" s="150"/>
      <c r="BY15" s="150"/>
      <c r="BZ15" s="150"/>
      <c r="CA15" s="150"/>
      <c r="CB15" s="150"/>
      <c r="CC15" s="150"/>
      <c r="CD15" s="150"/>
      <c r="CE15" s="150"/>
      <c r="CF15" s="150"/>
      <c r="CG15" s="150"/>
      <c r="CH15" s="150"/>
      <c r="CI15" s="150"/>
      <c r="CJ15" s="150"/>
      <c r="CK15" s="150"/>
      <c r="CL15" s="150"/>
      <c r="CM15" s="150"/>
      <c r="CN15" s="150"/>
      <c r="CO15" s="150"/>
      <c r="CP15" s="150"/>
      <c r="CQ15" s="150"/>
      <c r="CR15" s="150"/>
      <c r="CS15" s="150"/>
      <c r="DE15" s="150"/>
    </row>
    <row r="16" spans="1:109" ht="30" customHeight="1" x14ac:dyDescent="0.25">
      <c r="B16" s="152"/>
      <c r="C16" s="153"/>
      <c r="D16" s="154"/>
      <c r="E16" s="155"/>
      <c r="F16" s="156"/>
      <c r="G16" s="146"/>
      <c r="H16" s="146"/>
      <c r="I16" s="147" t="str">
        <f t="shared" si="4"/>
        <v/>
      </c>
      <c r="J16" s="157"/>
      <c r="K16" s="148" t="str">
        <f t="shared" si="5"/>
        <v/>
      </c>
      <c r="L16" s="148" t="str">
        <f t="shared" si="6"/>
        <v/>
      </c>
      <c r="M16" s="149" t="str">
        <f t="shared" si="7"/>
        <v/>
      </c>
      <c r="Q16" s="150"/>
      <c r="R16" s="150"/>
      <c r="S16" s="150"/>
      <c r="BG16" s="150"/>
      <c r="BH16" s="150"/>
      <c r="BI16" s="150"/>
      <c r="BJ16" s="150"/>
      <c r="BK16" s="150"/>
      <c r="BL16" s="150"/>
      <c r="BM16" s="150"/>
      <c r="BN16" s="150"/>
      <c r="BO16" s="150"/>
      <c r="BP16" s="150"/>
      <c r="BQ16" s="150"/>
      <c r="BR16" s="150"/>
      <c r="BS16" s="150"/>
      <c r="BT16" s="150"/>
      <c r="BU16" s="150"/>
      <c r="BV16" s="150"/>
      <c r="BW16" s="150"/>
      <c r="BX16" s="150"/>
      <c r="BY16" s="150"/>
      <c r="BZ16" s="150"/>
      <c r="CA16" s="150"/>
      <c r="CB16" s="150"/>
      <c r="CC16" s="150"/>
      <c r="CD16" s="150"/>
      <c r="CE16" s="150"/>
      <c r="CF16" s="150"/>
      <c r="CG16" s="150"/>
      <c r="CH16" s="150"/>
      <c r="CI16" s="150"/>
      <c r="CJ16" s="150"/>
      <c r="CK16" s="150"/>
      <c r="CL16" s="150"/>
      <c r="CM16" s="150"/>
      <c r="CN16" s="150"/>
      <c r="CO16" s="150"/>
      <c r="CP16" s="150"/>
      <c r="CQ16" s="150"/>
      <c r="CR16" s="150"/>
      <c r="CS16" s="150"/>
      <c r="DE16" s="150"/>
    </row>
    <row r="17" spans="2:109" ht="30" customHeight="1" x14ac:dyDescent="0.25">
      <c r="B17" s="152"/>
      <c r="C17" s="153"/>
      <c r="D17" s="154"/>
      <c r="E17" s="155"/>
      <c r="F17" s="156"/>
      <c r="G17" s="146"/>
      <c r="H17" s="146"/>
      <c r="I17" s="147" t="str">
        <f t="shared" si="4"/>
        <v/>
      </c>
      <c r="J17" s="157"/>
      <c r="K17" s="148" t="str">
        <f t="shared" si="5"/>
        <v/>
      </c>
      <c r="L17" s="148" t="str">
        <f t="shared" si="6"/>
        <v/>
      </c>
      <c r="M17" s="149" t="str">
        <f t="shared" si="7"/>
        <v/>
      </c>
      <c r="Q17" s="150"/>
      <c r="R17" s="150"/>
      <c r="S17" s="150"/>
      <c r="BG17" s="150"/>
      <c r="BH17" s="150"/>
      <c r="BI17" s="150"/>
      <c r="BJ17" s="150"/>
      <c r="BK17" s="150"/>
      <c r="BL17" s="150"/>
      <c r="BM17" s="150"/>
      <c r="BN17" s="150"/>
      <c r="BO17" s="150"/>
      <c r="BP17" s="150"/>
      <c r="BQ17" s="150"/>
      <c r="BR17" s="150"/>
      <c r="BS17" s="150"/>
      <c r="BT17" s="150"/>
      <c r="BU17" s="150"/>
      <c r="BV17" s="150"/>
      <c r="BW17" s="150"/>
      <c r="BX17" s="150"/>
      <c r="BY17" s="150"/>
      <c r="BZ17" s="150"/>
      <c r="CA17" s="150"/>
      <c r="CB17" s="150"/>
      <c r="CC17" s="150"/>
      <c r="CD17" s="150"/>
      <c r="CE17" s="150"/>
      <c r="CF17" s="150"/>
      <c r="CG17" s="150"/>
      <c r="CH17" s="150"/>
      <c r="CI17" s="150"/>
      <c r="CJ17" s="150"/>
      <c r="CK17" s="150"/>
      <c r="CL17" s="150"/>
      <c r="CM17" s="150"/>
      <c r="CN17" s="150"/>
      <c r="CO17" s="150"/>
      <c r="CP17" s="150"/>
      <c r="CQ17" s="150"/>
      <c r="CR17" s="150"/>
      <c r="CS17" s="150"/>
      <c r="DE17" s="150"/>
    </row>
    <row r="18" spans="2:109" ht="30" customHeight="1" x14ac:dyDescent="0.25">
      <c r="B18" s="152"/>
      <c r="C18" s="153"/>
      <c r="D18" s="154"/>
      <c r="E18" s="155"/>
      <c r="F18" s="156"/>
      <c r="G18" s="146"/>
      <c r="H18" s="146"/>
      <c r="I18" s="147" t="str">
        <f t="shared" si="4"/>
        <v/>
      </c>
      <c r="J18" s="157"/>
      <c r="K18" s="148" t="str">
        <f t="shared" si="5"/>
        <v/>
      </c>
      <c r="L18" s="148" t="str">
        <f t="shared" si="6"/>
        <v/>
      </c>
      <c r="M18" s="149" t="str">
        <f t="shared" si="7"/>
        <v/>
      </c>
      <c r="Q18" s="150"/>
      <c r="R18" s="150"/>
      <c r="S18" s="150"/>
      <c r="BG18" s="150"/>
      <c r="BH18" s="150"/>
      <c r="BI18" s="150"/>
      <c r="BJ18" s="150"/>
      <c r="BK18" s="150"/>
      <c r="BL18" s="150"/>
      <c r="BM18" s="150"/>
      <c r="BN18" s="150"/>
      <c r="BO18" s="150"/>
      <c r="BP18" s="150"/>
      <c r="BQ18" s="150"/>
      <c r="BR18" s="150"/>
      <c r="BS18" s="150"/>
      <c r="BT18" s="150"/>
      <c r="BU18" s="150"/>
      <c r="BV18" s="150"/>
      <c r="BW18" s="150"/>
      <c r="BX18" s="150"/>
      <c r="BY18" s="150"/>
      <c r="BZ18" s="150"/>
      <c r="CA18" s="150"/>
      <c r="CB18" s="150"/>
      <c r="CC18" s="150"/>
      <c r="CD18" s="150"/>
      <c r="CE18" s="150"/>
      <c r="CF18" s="150"/>
      <c r="CG18" s="150"/>
      <c r="CH18" s="150"/>
      <c r="CI18" s="150"/>
      <c r="CJ18" s="150"/>
      <c r="CK18" s="150"/>
      <c r="CL18" s="150"/>
      <c r="CM18" s="150"/>
      <c r="CN18" s="150"/>
      <c r="CO18" s="150"/>
      <c r="CP18" s="150"/>
      <c r="CQ18" s="150"/>
      <c r="CR18" s="150"/>
      <c r="CS18" s="150"/>
      <c r="DE18" s="150"/>
    </row>
    <row r="19" spans="2:109" ht="30" customHeight="1" x14ac:dyDescent="0.25">
      <c r="B19" s="152"/>
      <c r="C19" s="153"/>
      <c r="D19" s="154"/>
      <c r="E19" s="155"/>
      <c r="F19" s="156"/>
      <c r="G19" s="146"/>
      <c r="H19" s="146"/>
      <c r="I19" s="147" t="str">
        <f t="shared" si="4"/>
        <v/>
      </c>
      <c r="J19" s="157"/>
      <c r="K19" s="148" t="str">
        <f t="shared" si="5"/>
        <v/>
      </c>
      <c r="L19" s="148" t="str">
        <f t="shared" si="6"/>
        <v/>
      </c>
      <c r="M19" s="149" t="str">
        <f t="shared" si="7"/>
        <v/>
      </c>
      <c r="Q19" s="150"/>
      <c r="R19" s="150"/>
      <c r="S19" s="150"/>
      <c r="BG19" s="150"/>
      <c r="BH19" s="150"/>
      <c r="BI19" s="150"/>
      <c r="BJ19" s="150"/>
      <c r="BK19" s="150"/>
      <c r="BL19" s="150"/>
      <c r="BM19" s="150"/>
      <c r="BN19" s="150"/>
      <c r="BO19" s="150"/>
      <c r="BP19" s="150"/>
      <c r="BQ19" s="150"/>
      <c r="BR19" s="150"/>
      <c r="BS19" s="150"/>
      <c r="BT19" s="150"/>
      <c r="BU19" s="150"/>
      <c r="BV19" s="150"/>
      <c r="BW19" s="150"/>
      <c r="BX19" s="150"/>
      <c r="BY19" s="150"/>
      <c r="BZ19" s="150"/>
      <c r="CA19" s="150"/>
      <c r="CB19" s="150"/>
      <c r="CC19" s="150"/>
      <c r="CD19" s="150"/>
      <c r="CE19" s="150"/>
      <c r="CF19" s="150"/>
      <c r="CG19" s="150"/>
      <c r="CH19" s="150"/>
      <c r="CI19" s="150"/>
      <c r="CJ19" s="150"/>
      <c r="CK19" s="150"/>
      <c r="CL19" s="150"/>
      <c r="CM19" s="150"/>
      <c r="CN19" s="150"/>
      <c r="CO19" s="150"/>
      <c r="CP19" s="150"/>
      <c r="CQ19" s="150"/>
      <c r="CR19" s="150"/>
      <c r="CS19" s="150"/>
      <c r="DE19" s="150"/>
    </row>
    <row r="20" spans="2:109" ht="30" customHeight="1" x14ac:dyDescent="0.25">
      <c r="B20" s="152"/>
      <c r="C20" s="153"/>
      <c r="D20" s="154"/>
      <c r="E20" s="155"/>
      <c r="F20" s="156"/>
      <c r="G20" s="146"/>
      <c r="H20" s="146"/>
      <c r="I20" s="147" t="str">
        <f t="shared" si="4"/>
        <v/>
      </c>
      <c r="J20" s="157"/>
      <c r="K20" s="148" t="str">
        <f t="shared" si="5"/>
        <v/>
      </c>
      <c r="L20" s="148" t="str">
        <f t="shared" si="6"/>
        <v/>
      </c>
      <c r="M20" s="149" t="str">
        <f t="shared" si="7"/>
        <v/>
      </c>
      <c r="Q20" s="150"/>
      <c r="R20" s="150"/>
      <c r="S20" s="150"/>
      <c r="BG20" s="150"/>
      <c r="BH20" s="150"/>
      <c r="BI20" s="150"/>
      <c r="BJ20" s="150"/>
      <c r="BK20" s="150"/>
      <c r="BL20" s="150"/>
      <c r="BM20" s="150"/>
      <c r="BN20" s="150"/>
      <c r="BO20" s="150"/>
      <c r="BP20" s="150"/>
      <c r="BQ20" s="150"/>
      <c r="BR20" s="150"/>
      <c r="BS20" s="150"/>
      <c r="BT20" s="150"/>
      <c r="BU20" s="150"/>
      <c r="BV20" s="150"/>
      <c r="BW20" s="150"/>
      <c r="BX20" s="150"/>
      <c r="BY20" s="150"/>
      <c r="BZ20" s="150"/>
      <c r="CA20" s="150"/>
      <c r="CB20" s="150"/>
      <c r="CC20" s="150"/>
      <c r="CD20" s="150"/>
      <c r="CE20" s="150"/>
      <c r="CF20" s="150"/>
      <c r="CG20" s="150"/>
      <c r="CH20" s="150"/>
      <c r="CI20" s="150"/>
      <c r="CJ20" s="150"/>
      <c r="CK20" s="150"/>
      <c r="CL20" s="150"/>
      <c r="CM20" s="150"/>
      <c r="CN20" s="150"/>
      <c r="CO20" s="150"/>
      <c r="CP20" s="150"/>
      <c r="CQ20" s="150"/>
      <c r="CR20" s="150"/>
      <c r="CS20" s="150"/>
      <c r="DE20" s="150"/>
    </row>
    <row r="21" spans="2:109" ht="30" customHeight="1" x14ac:dyDescent="0.25">
      <c r="B21" s="152"/>
      <c r="C21" s="153"/>
      <c r="D21" s="154"/>
      <c r="E21" s="155"/>
      <c r="F21" s="156"/>
      <c r="G21" s="146"/>
      <c r="H21" s="146"/>
      <c r="I21" s="147" t="str">
        <f t="shared" si="4"/>
        <v/>
      </c>
      <c r="J21" s="157"/>
      <c r="K21" s="148" t="str">
        <f t="shared" si="5"/>
        <v/>
      </c>
      <c r="L21" s="148" t="str">
        <f t="shared" si="6"/>
        <v/>
      </c>
      <c r="M21" s="149" t="str">
        <f t="shared" si="7"/>
        <v/>
      </c>
      <c r="Q21" s="150"/>
      <c r="R21" s="150"/>
      <c r="S21" s="150"/>
      <c r="BG21" s="150"/>
      <c r="BH21" s="150"/>
      <c r="BI21" s="150"/>
      <c r="BJ21" s="150"/>
      <c r="BK21" s="150"/>
      <c r="BL21" s="150"/>
      <c r="BM21" s="150"/>
      <c r="BN21" s="150"/>
      <c r="BO21" s="150"/>
      <c r="BP21" s="150"/>
      <c r="BQ21" s="150"/>
      <c r="BR21" s="150"/>
      <c r="BS21" s="150"/>
      <c r="BT21" s="150"/>
      <c r="BU21" s="150"/>
      <c r="BV21" s="150"/>
      <c r="BW21" s="150"/>
      <c r="BX21" s="150"/>
      <c r="BY21" s="150"/>
      <c r="BZ21" s="150"/>
      <c r="CA21" s="150"/>
      <c r="CB21" s="150"/>
      <c r="CC21" s="150"/>
      <c r="CD21" s="150"/>
      <c r="CE21" s="150"/>
      <c r="CF21" s="150"/>
      <c r="CG21" s="150"/>
      <c r="CH21" s="150"/>
      <c r="CI21" s="150"/>
      <c r="CJ21" s="150"/>
      <c r="CK21" s="150"/>
      <c r="CL21" s="150"/>
      <c r="CM21" s="150"/>
      <c r="CN21" s="150"/>
      <c r="CO21" s="150"/>
      <c r="CP21" s="150"/>
      <c r="CQ21" s="150"/>
      <c r="CR21" s="150"/>
      <c r="CS21" s="150"/>
      <c r="DE21" s="150"/>
    </row>
    <row r="22" spans="2:109" ht="30" customHeight="1" x14ac:dyDescent="0.25">
      <c r="B22" s="152"/>
      <c r="C22" s="153"/>
      <c r="D22" s="154"/>
      <c r="E22" s="155"/>
      <c r="F22" s="156"/>
      <c r="G22" s="146"/>
      <c r="H22" s="146"/>
      <c r="I22" s="147" t="str">
        <f t="shared" si="4"/>
        <v/>
      </c>
      <c r="J22" s="157"/>
      <c r="K22" s="148" t="str">
        <f t="shared" si="5"/>
        <v/>
      </c>
      <c r="L22" s="148" t="str">
        <f t="shared" si="6"/>
        <v/>
      </c>
      <c r="M22" s="149" t="str">
        <f t="shared" si="7"/>
        <v/>
      </c>
      <c r="Q22" s="150"/>
      <c r="R22" s="150"/>
      <c r="S22" s="150"/>
      <c r="BG22" s="150"/>
      <c r="BH22" s="150"/>
      <c r="BI22" s="150"/>
      <c r="BJ22" s="150"/>
      <c r="BK22" s="150"/>
      <c r="BL22" s="150"/>
      <c r="BM22" s="150"/>
      <c r="BN22" s="150"/>
      <c r="BO22" s="150"/>
      <c r="BP22" s="150"/>
      <c r="BQ22" s="150"/>
      <c r="BR22" s="150"/>
      <c r="BS22" s="150"/>
      <c r="BT22" s="150"/>
      <c r="BU22" s="150"/>
      <c r="BV22" s="150"/>
      <c r="BW22" s="150"/>
      <c r="BX22" s="150"/>
      <c r="BY22" s="150"/>
      <c r="BZ22" s="150"/>
      <c r="CA22" s="150"/>
      <c r="CB22" s="150"/>
      <c r="CC22" s="150"/>
      <c r="CD22" s="150"/>
      <c r="CE22" s="150"/>
      <c r="CF22" s="150"/>
      <c r="CG22" s="150"/>
      <c r="CH22" s="150"/>
      <c r="CI22" s="150"/>
      <c r="CJ22" s="150"/>
      <c r="CK22" s="150"/>
      <c r="CL22" s="150"/>
      <c r="CM22" s="150"/>
      <c r="CN22" s="150"/>
      <c r="CO22" s="150"/>
      <c r="CP22" s="150"/>
      <c r="CQ22" s="150"/>
      <c r="CR22" s="150"/>
      <c r="CS22" s="150"/>
      <c r="DE22" s="150"/>
    </row>
    <row r="23" spans="2:109" ht="30" customHeight="1" x14ac:dyDescent="0.25">
      <c r="B23" s="152"/>
      <c r="C23" s="153"/>
      <c r="D23" s="154"/>
      <c r="E23" s="155"/>
      <c r="F23" s="156"/>
      <c r="G23" s="146"/>
      <c r="H23" s="146"/>
      <c r="I23" s="147" t="str">
        <f t="shared" si="4"/>
        <v/>
      </c>
      <c r="J23" s="157"/>
      <c r="K23" s="148" t="str">
        <f t="shared" si="5"/>
        <v/>
      </c>
      <c r="L23" s="148" t="str">
        <f t="shared" si="6"/>
        <v/>
      </c>
      <c r="M23" s="149" t="str">
        <f t="shared" si="7"/>
        <v/>
      </c>
      <c r="Q23" s="150"/>
      <c r="R23" s="150"/>
      <c r="S23" s="150"/>
      <c r="BG23" s="150"/>
      <c r="BH23" s="150"/>
      <c r="BI23" s="150"/>
      <c r="BJ23" s="150"/>
      <c r="BK23" s="150"/>
      <c r="BL23" s="150"/>
      <c r="BM23" s="150"/>
      <c r="BN23" s="150"/>
      <c r="BO23" s="150"/>
      <c r="BP23" s="150"/>
      <c r="BQ23" s="150"/>
      <c r="BR23" s="150"/>
      <c r="BS23" s="150"/>
      <c r="BT23" s="150"/>
      <c r="BU23" s="150"/>
      <c r="BV23" s="150"/>
      <c r="BW23" s="150"/>
      <c r="BX23" s="150"/>
      <c r="BY23" s="150"/>
      <c r="BZ23" s="150"/>
      <c r="CA23" s="150"/>
      <c r="CB23" s="150"/>
      <c r="CC23" s="150"/>
      <c r="CD23" s="150"/>
      <c r="CE23" s="150"/>
      <c r="CF23" s="150"/>
      <c r="CG23" s="150"/>
      <c r="CH23" s="150"/>
      <c r="CI23" s="150"/>
      <c r="CJ23" s="150"/>
      <c r="CK23" s="150"/>
      <c r="CL23" s="150"/>
      <c r="CM23" s="150"/>
      <c r="CN23" s="150"/>
      <c r="CO23" s="150"/>
      <c r="CP23" s="150"/>
      <c r="CQ23" s="150"/>
      <c r="CR23" s="150"/>
      <c r="CS23" s="150"/>
      <c r="DE23" s="150"/>
    </row>
    <row r="24" spans="2:109" ht="30" customHeight="1" x14ac:dyDescent="0.25">
      <c r="B24" s="152"/>
      <c r="C24" s="153"/>
      <c r="D24" s="154"/>
      <c r="E24" s="155"/>
      <c r="F24" s="156"/>
      <c r="G24" s="146"/>
      <c r="H24" s="146"/>
      <c r="I24" s="147" t="str">
        <f t="shared" si="4"/>
        <v/>
      </c>
      <c r="J24" s="157"/>
      <c r="K24" s="148" t="str">
        <f t="shared" si="5"/>
        <v/>
      </c>
      <c r="L24" s="148" t="str">
        <f t="shared" si="6"/>
        <v/>
      </c>
      <c r="M24" s="149" t="str">
        <f t="shared" si="7"/>
        <v/>
      </c>
      <c r="Q24" s="150"/>
      <c r="R24" s="150"/>
      <c r="S24" s="150"/>
      <c r="BG24" s="150"/>
      <c r="BH24" s="150"/>
      <c r="BI24" s="150"/>
      <c r="BJ24" s="150"/>
      <c r="BK24" s="150"/>
      <c r="BL24" s="150"/>
      <c r="BM24" s="150"/>
      <c r="BN24" s="150"/>
      <c r="BO24" s="150"/>
      <c r="BP24" s="150"/>
      <c r="BQ24" s="150"/>
      <c r="BR24" s="150"/>
      <c r="BS24" s="150"/>
      <c r="BT24" s="150"/>
      <c r="BU24" s="150"/>
      <c r="BV24" s="150"/>
      <c r="BW24" s="150"/>
      <c r="BX24" s="150"/>
      <c r="BY24" s="150"/>
      <c r="BZ24" s="150"/>
      <c r="CA24" s="150"/>
      <c r="CB24" s="150"/>
      <c r="CC24" s="150"/>
      <c r="CD24" s="150"/>
      <c r="CE24" s="150"/>
      <c r="CF24" s="150"/>
      <c r="CG24" s="150"/>
      <c r="CH24" s="150"/>
      <c r="CI24" s="150"/>
      <c r="CJ24" s="150"/>
      <c r="CK24" s="150"/>
      <c r="CL24" s="150"/>
      <c r="CM24" s="150"/>
      <c r="CN24" s="150"/>
      <c r="CO24" s="150"/>
      <c r="CP24" s="150"/>
      <c r="CQ24" s="150"/>
      <c r="CR24" s="150"/>
      <c r="CS24" s="150"/>
      <c r="DE24" s="150"/>
    </row>
    <row r="25" spans="2:109" ht="30" customHeight="1" x14ac:dyDescent="0.25">
      <c r="B25" s="152"/>
      <c r="C25" s="153"/>
      <c r="D25" s="154"/>
      <c r="E25" s="155"/>
      <c r="F25" s="156"/>
      <c r="G25" s="146"/>
      <c r="H25" s="146"/>
      <c r="I25" s="147" t="str">
        <f t="shared" si="4"/>
        <v/>
      </c>
      <c r="J25" s="157"/>
      <c r="K25" s="148" t="str">
        <f t="shared" si="5"/>
        <v/>
      </c>
      <c r="L25" s="148" t="str">
        <f t="shared" si="6"/>
        <v/>
      </c>
      <c r="M25" s="149" t="str">
        <f t="shared" si="7"/>
        <v/>
      </c>
      <c r="Q25" s="150"/>
      <c r="R25" s="150"/>
      <c r="S25" s="150"/>
      <c r="BG25" s="150"/>
      <c r="BH25" s="150"/>
      <c r="BI25" s="150"/>
      <c r="BJ25" s="150"/>
      <c r="BK25" s="150"/>
      <c r="BL25" s="150"/>
      <c r="BM25" s="150"/>
      <c r="BN25" s="150"/>
      <c r="BO25" s="150"/>
      <c r="BP25" s="150"/>
      <c r="BQ25" s="150"/>
      <c r="BR25" s="150"/>
      <c r="BS25" s="150"/>
      <c r="BT25" s="150"/>
      <c r="BU25" s="150"/>
      <c r="BV25" s="150"/>
      <c r="BW25" s="150"/>
      <c r="BX25" s="150"/>
      <c r="BY25" s="150"/>
      <c r="BZ25" s="150"/>
      <c r="CA25" s="150"/>
      <c r="CB25" s="150"/>
      <c r="CC25" s="150"/>
      <c r="CD25" s="150"/>
      <c r="CE25" s="150"/>
      <c r="CF25" s="150"/>
      <c r="CG25" s="150"/>
      <c r="CH25" s="150"/>
      <c r="CI25" s="150"/>
      <c r="CJ25" s="150"/>
      <c r="CK25" s="150"/>
      <c r="CL25" s="150"/>
      <c r="CM25" s="150"/>
      <c r="CN25" s="150"/>
      <c r="CO25" s="150"/>
      <c r="CP25" s="150"/>
      <c r="CQ25" s="150"/>
      <c r="CR25" s="150"/>
      <c r="CS25" s="150"/>
      <c r="DE25" s="150"/>
    </row>
    <row r="26" spans="2:109" ht="30" customHeight="1" x14ac:dyDescent="0.25">
      <c r="B26" s="152"/>
      <c r="C26" s="153"/>
      <c r="D26" s="154"/>
      <c r="E26" s="155"/>
      <c r="F26" s="156"/>
      <c r="G26" s="146"/>
      <c r="H26" s="146"/>
      <c r="I26" s="147" t="str">
        <f t="shared" si="4"/>
        <v/>
      </c>
      <c r="J26" s="157"/>
      <c r="K26" s="148" t="str">
        <f t="shared" si="5"/>
        <v/>
      </c>
      <c r="L26" s="148" t="str">
        <f t="shared" si="6"/>
        <v/>
      </c>
      <c r="M26" s="149" t="str">
        <f t="shared" si="7"/>
        <v/>
      </c>
      <c r="Q26" s="150"/>
      <c r="R26" s="150"/>
      <c r="S26" s="150"/>
      <c r="BG26" s="150"/>
      <c r="BH26" s="150"/>
      <c r="BI26" s="150"/>
      <c r="BJ26" s="150"/>
      <c r="BK26" s="150"/>
      <c r="BL26" s="150"/>
      <c r="BM26" s="150"/>
      <c r="BN26" s="150"/>
      <c r="BO26" s="150"/>
      <c r="BP26" s="150"/>
      <c r="BQ26" s="150"/>
      <c r="BR26" s="150"/>
      <c r="BS26" s="150"/>
      <c r="BT26" s="150"/>
      <c r="BU26" s="150"/>
      <c r="BV26" s="150"/>
      <c r="BW26" s="150"/>
      <c r="BX26" s="150"/>
      <c r="BY26" s="150"/>
      <c r="BZ26" s="150"/>
      <c r="CA26" s="150"/>
      <c r="CB26" s="150"/>
      <c r="CC26" s="150"/>
      <c r="CD26" s="150"/>
      <c r="CE26" s="150"/>
      <c r="CF26" s="150"/>
      <c r="CG26" s="150"/>
      <c r="CH26" s="150"/>
      <c r="CI26" s="150"/>
      <c r="CJ26" s="150"/>
      <c r="CK26" s="150"/>
      <c r="CL26" s="150"/>
      <c r="CM26" s="150"/>
      <c r="CN26" s="150"/>
      <c r="CO26" s="150"/>
      <c r="CP26" s="150"/>
      <c r="CQ26" s="150"/>
      <c r="CR26" s="150"/>
      <c r="CS26" s="150"/>
      <c r="DE26" s="150"/>
    </row>
    <row r="27" spans="2:109" ht="30" customHeight="1" x14ac:dyDescent="0.25">
      <c r="B27" s="152"/>
      <c r="C27" s="153"/>
      <c r="D27" s="154"/>
      <c r="E27" s="155"/>
      <c r="F27" s="156"/>
      <c r="G27" s="146"/>
      <c r="H27" s="146"/>
      <c r="I27" s="147" t="str">
        <f t="shared" si="4"/>
        <v/>
      </c>
      <c r="J27" s="157"/>
      <c r="K27" s="148" t="str">
        <f t="shared" si="5"/>
        <v/>
      </c>
      <c r="L27" s="148" t="str">
        <f t="shared" si="6"/>
        <v/>
      </c>
      <c r="M27" s="149" t="str">
        <f t="shared" si="7"/>
        <v/>
      </c>
      <c r="Q27" s="150"/>
      <c r="R27" s="150"/>
      <c r="S27" s="150"/>
      <c r="BG27" s="150"/>
      <c r="BH27" s="150"/>
      <c r="BI27" s="150"/>
      <c r="BJ27" s="150"/>
      <c r="BK27" s="150"/>
      <c r="BL27" s="150"/>
      <c r="BM27" s="150"/>
      <c r="BN27" s="150"/>
      <c r="BO27" s="150"/>
      <c r="BP27" s="150"/>
      <c r="BQ27" s="150"/>
      <c r="BR27" s="150"/>
      <c r="BS27" s="150"/>
      <c r="BT27" s="150"/>
      <c r="BU27" s="150"/>
      <c r="BV27" s="150"/>
      <c r="BW27" s="150"/>
      <c r="BX27" s="150"/>
      <c r="BY27" s="150"/>
      <c r="BZ27" s="150"/>
      <c r="CA27" s="150"/>
      <c r="CB27" s="150"/>
      <c r="CC27" s="150"/>
      <c r="CD27" s="150"/>
      <c r="CE27" s="150"/>
      <c r="CF27" s="150"/>
      <c r="CG27" s="150"/>
      <c r="CH27" s="150"/>
      <c r="CI27" s="150"/>
      <c r="CJ27" s="150"/>
      <c r="CK27" s="150"/>
      <c r="CL27" s="150"/>
      <c r="CM27" s="150"/>
      <c r="CN27" s="150"/>
      <c r="CO27" s="150"/>
      <c r="CP27" s="150"/>
      <c r="CQ27" s="150"/>
      <c r="CR27" s="150"/>
      <c r="CS27" s="150"/>
      <c r="DE27" s="150"/>
    </row>
    <row r="28" spans="2:109" ht="30" customHeight="1" x14ac:dyDescent="0.25">
      <c r="B28" s="152"/>
      <c r="C28" s="153"/>
      <c r="D28" s="154"/>
      <c r="E28" s="155"/>
      <c r="F28" s="156"/>
      <c r="G28" s="146"/>
      <c r="H28" s="146"/>
      <c r="I28" s="147" t="str">
        <f t="shared" si="4"/>
        <v/>
      </c>
      <c r="J28" s="157"/>
      <c r="K28" s="148" t="str">
        <f t="shared" si="5"/>
        <v/>
      </c>
      <c r="L28" s="148" t="str">
        <f t="shared" si="6"/>
        <v/>
      </c>
      <c r="M28" s="149" t="str">
        <f t="shared" si="7"/>
        <v/>
      </c>
      <c r="Q28" s="150"/>
      <c r="R28" s="150"/>
      <c r="S28" s="150"/>
      <c r="BG28" s="150"/>
      <c r="BH28" s="150"/>
      <c r="BI28" s="150"/>
      <c r="BJ28" s="150"/>
      <c r="BK28" s="150"/>
      <c r="BL28" s="150"/>
      <c r="BM28" s="150"/>
      <c r="BN28" s="150"/>
      <c r="BO28" s="150"/>
      <c r="BP28" s="150"/>
      <c r="BQ28" s="150"/>
      <c r="BR28" s="150"/>
      <c r="BS28" s="150"/>
      <c r="BT28" s="150"/>
      <c r="BU28" s="150"/>
      <c r="BV28" s="150"/>
      <c r="BW28" s="150"/>
      <c r="BX28" s="150"/>
      <c r="BY28" s="150"/>
      <c r="BZ28" s="150"/>
      <c r="CA28" s="150"/>
      <c r="CB28" s="150"/>
      <c r="CC28" s="150"/>
      <c r="CD28" s="150"/>
      <c r="CE28" s="150"/>
      <c r="CF28" s="150"/>
      <c r="CG28" s="150"/>
      <c r="CH28" s="150"/>
      <c r="CI28" s="150"/>
      <c r="CJ28" s="150"/>
      <c r="CK28" s="150"/>
      <c r="CL28" s="150"/>
      <c r="CM28" s="150"/>
      <c r="CN28" s="150"/>
      <c r="CO28" s="150"/>
      <c r="CP28" s="150"/>
      <c r="CQ28" s="150"/>
      <c r="CR28" s="150"/>
      <c r="CS28" s="150"/>
      <c r="DE28" s="150"/>
    </row>
    <row r="29" spans="2:109" ht="30" customHeight="1" x14ac:dyDescent="0.25">
      <c r="B29" s="152"/>
      <c r="C29" s="153"/>
      <c r="D29" s="154"/>
      <c r="E29" s="155"/>
      <c r="F29" s="156"/>
      <c r="G29" s="146"/>
      <c r="H29" s="146"/>
      <c r="I29" s="147" t="str">
        <f t="shared" si="4"/>
        <v/>
      </c>
      <c r="J29" s="157"/>
      <c r="K29" s="148" t="str">
        <f t="shared" si="5"/>
        <v/>
      </c>
      <c r="L29" s="148" t="str">
        <f t="shared" si="6"/>
        <v/>
      </c>
      <c r="M29" s="149" t="str">
        <f t="shared" si="7"/>
        <v/>
      </c>
      <c r="Q29" s="150"/>
      <c r="R29" s="150"/>
      <c r="S29" s="150"/>
      <c r="BG29" s="150"/>
      <c r="BH29" s="150"/>
      <c r="BI29" s="150"/>
      <c r="BJ29" s="150"/>
      <c r="BK29" s="150"/>
      <c r="BL29" s="150"/>
      <c r="BM29" s="150"/>
      <c r="BN29" s="150"/>
      <c r="BO29" s="150"/>
      <c r="BP29" s="150"/>
      <c r="BQ29" s="150"/>
      <c r="BR29" s="150"/>
      <c r="BS29" s="150"/>
      <c r="BT29" s="150"/>
      <c r="BU29" s="150"/>
      <c r="BV29" s="150"/>
      <c r="BW29" s="150"/>
      <c r="BX29" s="150"/>
      <c r="BY29" s="150"/>
      <c r="BZ29" s="150"/>
      <c r="CA29" s="150"/>
      <c r="CB29" s="150"/>
      <c r="CC29" s="150"/>
      <c r="CD29" s="150"/>
      <c r="CE29" s="150"/>
      <c r="CF29" s="150"/>
      <c r="CG29" s="150"/>
      <c r="CH29" s="150"/>
      <c r="CI29" s="150"/>
      <c r="CJ29" s="150"/>
      <c r="CK29" s="150"/>
      <c r="CL29" s="150"/>
      <c r="CM29" s="150"/>
      <c r="CN29" s="150"/>
      <c r="CO29" s="150"/>
      <c r="CP29" s="150"/>
      <c r="CQ29" s="150"/>
      <c r="CR29" s="150"/>
      <c r="CS29" s="150"/>
      <c r="DE29" s="150"/>
    </row>
    <row r="30" spans="2:109" ht="30" customHeight="1" x14ac:dyDescent="0.25">
      <c r="B30" s="152"/>
      <c r="C30" s="153"/>
      <c r="D30" s="154"/>
      <c r="E30" s="155"/>
      <c r="F30" s="156"/>
      <c r="G30" s="146"/>
      <c r="H30" s="146"/>
      <c r="I30" s="147" t="str">
        <f t="shared" si="4"/>
        <v/>
      </c>
      <c r="J30" s="157"/>
      <c r="K30" s="148" t="str">
        <f t="shared" si="5"/>
        <v/>
      </c>
      <c r="L30" s="148" t="str">
        <f t="shared" si="6"/>
        <v/>
      </c>
      <c r="M30" s="149" t="str">
        <f t="shared" si="7"/>
        <v/>
      </c>
      <c r="Q30" s="150"/>
      <c r="R30" s="150"/>
      <c r="S30" s="150"/>
      <c r="BG30" s="150"/>
      <c r="BH30" s="150"/>
      <c r="BI30" s="150"/>
      <c r="BJ30" s="150"/>
      <c r="BK30" s="150"/>
      <c r="BL30" s="150"/>
      <c r="BM30" s="150"/>
      <c r="BN30" s="150"/>
      <c r="BO30" s="150"/>
      <c r="BP30" s="150"/>
      <c r="BQ30" s="150"/>
      <c r="BR30" s="150"/>
      <c r="BS30" s="150"/>
      <c r="BT30" s="150"/>
      <c r="BU30" s="150"/>
      <c r="BV30" s="150"/>
      <c r="BW30" s="150"/>
      <c r="BX30" s="150"/>
      <c r="BY30" s="150"/>
      <c r="BZ30" s="150"/>
      <c r="CA30" s="150"/>
      <c r="CB30" s="150"/>
      <c r="CC30" s="150"/>
      <c r="CD30" s="150"/>
      <c r="CE30" s="150"/>
      <c r="CF30" s="150"/>
      <c r="CG30" s="150"/>
      <c r="CH30" s="150"/>
      <c r="CI30" s="150"/>
      <c r="CJ30" s="150"/>
      <c r="CK30" s="150"/>
      <c r="CL30" s="150"/>
      <c r="CM30" s="150"/>
      <c r="CN30" s="150"/>
      <c r="CO30" s="150"/>
      <c r="CP30" s="150"/>
      <c r="CQ30" s="150"/>
      <c r="CR30" s="150"/>
      <c r="CS30" s="150"/>
      <c r="DE30" s="150"/>
    </row>
    <row r="31" spans="2:109" ht="30" customHeight="1" x14ac:dyDescent="0.25">
      <c r="B31" s="152"/>
      <c r="C31" s="153"/>
      <c r="D31" s="154"/>
      <c r="E31" s="155"/>
      <c r="F31" s="156"/>
      <c r="G31" s="146"/>
      <c r="H31" s="146"/>
      <c r="I31" s="147" t="str">
        <f t="shared" si="4"/>
        <v/>
      </c>
      <c r="J31" s="157"/>
      <c r="K31" s="148" t="str">
        <f t="shared" si="5"/>
        <v/>
      </c>
      <c r="L31" s="148" t="str">
        <f t="shared" si="6"/>
        <v/>
      </c>
      <c r="M31" s="149" t="str">
        <f t="shared" si="7"/>
        <v/>
      </c>
      <c r="Q31" s="150"/>
      <c r="R31" s="150"/>
      <c r="S31" s="150"/>
      <c r="BG31" s="150"/>
      <c r="BH31" s="150"/>
      <c r="BI31" s="150"/>
      <c r="BJ31" s="150"/>
      <c r="BK31" s="150"/>
      <c r="BL31" s="150"/>
      <c r="BM31" s="150"/>
      <c r="BN31" s="150"/>
      <c r="BO31" s="150"/>
      <c r="BP31" s="150"/>
      <c r="BQ31" s="150"/>
      <c r="BR31" s="150"/>
      <c r="BS31" s="150"/>
      <c r="BT31" s="150"/>
      <c r="BU31" s="150"/>
      <c r="BV31" s="150"/>
      <c r="BW31" s="150"/>
      <c r="BX31" s="150"/>
      <c r="BY31" s="150"/>
      <c r="BZ31" s="150"/>
      <c r="CA31" s="150"/>
      <c r="CB31" s="150"/>
      <c r="CC31" s="150"/>
      <c r="CD31" s="150"/>
      <c r="CE31" s="150"/>
      <c r="CF31" s="150"/>
      <c r="CG31" s="150"/>
      <c r="CH31" s="150"/>
      <c r="CI31" s="150"/>
      <c r="CJ31" s="150"/>
      <c r="CK31" s="150"/>
      <c r="CL31" s="150"/>
      <c r="CM31" s="150"/>
      <c r="CN31" s="150"/>
      <c r="CO31" s="150"/>
      <c r="CP31" s="150"/>
      <c r="CQ31" s="150"/>
      <c r="CR31" s="150"/>
      <c r="CS31" s="150"/>
      <c r="DE31" s="150"/>
    </row>
    <row r="32" spans="2:109" ht="30" customHeight="1" x14ac:dyDescent="0.25">
      <c r="B32" s="152"/>
      <c r="C32" s="153"/>
      <c r="D32" s="154"/>
      <c r="E32" s="155"/>
      <c r="F32" s="156"/>
      <c r="G32" s="146"/>
      <c r="H32" s="146"/>
      <c r="I32" s="147" t="str">
        <f t="shared" si="4"/>
        <v/>
      </c>
      <c r="J32" s="157"/>
      <c r="K32" s="148" t="str">
        <f t="shared" si="5"/>
        <v/>
      </c>
      <c r="L32" s="148" t="str">
        <f t="shared" si="6"/>
        <v/>
      </c>
      <c r="M32" s="149" t="str">
        <f t="shared" si="7"/>
        <v/>
      </c>
      <c r="Q32" s="150"/>
      <c r="R32" s="150"/>
      <c r="S32" s="150"/>
      <c r="BG32" s="150"/>
      <c r="BH32" s="150"/>
      <c r="BI32" s="150"/>
      <c r="BJ32" s="150"/>
      <c r="BK32" s="150"/>
      <c r="BL32" s="150"/>
      <c r="BM32" s="150"/>
      <c r="BN32" s="150"/>
      <c r="BO32" s="150"/>
      <c r="BP32" s="150"/>
      <c r="BQ32" s="150"/>
      <c r="BR32" s="150"/>
      <c r="BS32" s="150"/>
      <c r="BT32" s="150"/>
      <c r="BU32" s="150"/>
      <c r="BV32" s="150"/>
      <c r="BW32" s="150"/>
      <c r="BX32" s="150"/>
      <c r="BY32" s="150"/>
      <c r="BZ32" s="150"/>
      <c r="CA32" s="150"/>
      <c r="CB32" s="150"/>
      <c r="CC32" s="150"/>
      <c r="CD32" s="150"/>
      <c r="CE32" s="150"/>
      <c r="CF32" s="150"/>
      <c r="CG32" s="150"/>
      <c r="CH32" s="150"/>
      <c r="CI32" s="150"/>
      <c r="CJ32" s="150"/>
      <c r="CK32" s="150"/>
      <c r="CL32" s="150"/>
      <c r="CM32" s="150"/>
      <c r="CN32" s="150"/>
      <c r="CO32" s="150"/>
      <c r="CP32" s="150"/>
      <c r="CQ32" s="150"/>
      <c r="CR32" s="150"/>
      <c r="CS32" s="150"/>
      <c r="DE32" s="150"/>
    </row>
    <row r="33" spans="2:109" ht="30" customHeight="1" x14ac:dyDescent="0.25">
      <c r="B33" s="152"/>
      <c r="C33" s="153"/>
      <c r="D33" s="154"/>
      <c r="E33" s="155"/>
      <c r="F33" s="156"/>
      <c r="G33" s="146"/>
      <c r="H33" s="146"/>
      <c r="I33" s="147" t="str">
        <f t="shared" si="4"/>
        <v/>
      </c>
      <c r="J33" s="157"/>
      <c r="K33" s="148" t="str">
        <f t="shared" si="5"/>
        <v/>
      </c>
      <c r="L33" s="148" t="str">
        <f t="shared" si="6"/>
        <v/>
      </c>
      <c r="M33" s="149" t="str">
        <f t="shared" si="7"/>
        <v/>
      </c>
      <c r="Q33" s="150"/>
      <c r="R33" s="150"/>
      <c r="S33" s="150"/>
      <c r="BG33" s="150"/>
      <c r="BH33" s="150"/>
      <c r="BI33" s="150"/>
      <c r="BJ33" s="150"/>
      <c r="BK33" s="150"/>
      <c r="BL33" s="150"/>
      <c r="BM33" s="150"/>
      <c r="BN33" s="150"/>
      <c r="BO33" s="150"/>
      <c r="BP33" s="150"/>
      <c r="BQ33" s="150"/>
      <c r="BR33" s="150"/>
      <c r="BS33" s="150"/>
      <c r="BT33" s="150"/>
      <c r="BU33" s="150"/>
      <c r="BV33" s="150"/>
      <c r="BW33" s="150"/>
      <c r="BX33" s="150"/>
      <c r="BY33" s="150"/>
      <c r="BZ33" s="150"/>
      <c r="CA33" s="150"/>
      <c r="CB33" s="150"/>
      <c r="CC33" s="150"/>
      <c r="CD33" s="150"/>
      <c r="CE33" s="150"/>
      <c r="CF33" s="150"/>
      <c r="CG33" s="150"/>
      <c r="CH33" s="150"/>
      <c r="CI33" s="150"/>
      <c r="CJ33" s="150"/>
      <c r="CK33" s="150"/>
      <c r="CL33" s="150"/>
      <c r="CM33" s="150"/>
      <c r="CN33" s="150"/>
      <c r="CO33" s="150"/>
      <c r="CP33" s="150"/>
      <c r="CQ33" s="150"/>
      <c r="CR33" s="150"/>
      <c r="CS33" s="150"/>
      <c r="DE33" s="150"/>
    </row>
    <row r="34" spans="2:109" ht="30" customHeight="1" x14ac:dyDescent="0.25">
      <c r="B34" s="152"/>
      <c r="C34" s="153"/>
      <c r="D34" s="154"/>
      <c r="E34" s="155"/>
      <c r="F34" s="156"/>
      <c r="G34" s="146"/>
      <c r="H34" s="146"/>
      <c r="I34" s="147" t="str">
        <f t="shared" si="4"/>
        <v/>
      </c>
      <c r="J34" s="157"/>
      <c r="K34" s="148" t="str">
        <f t="shared" si="5"/>
        <v/>
      </c>
      <c r="L34" s="148" t="str">
        <f t="shared" si="6"/>
        <v/>
      </c>
      <c r="M34" s="149" t="str">
        <f t="shared" si="7"/>
        <v/>
      </c>
      <c r="Q34" s="150"/>
      <c r="R34" s="150"/>
      <c r="S34" s="150"/>
      <c r="BG34" s="150"/>
      <c r="BH34" s="150"/>
      <c r="BI34" s="150"/>
      <c r="BJ34" s="150"/>
      <c r="BK34" s="150"/>
      <c r="BL34" s="150"/>
      <c r="BM34" s="150"/>
      <c r="BN34" s="150"/>
      <c r="BO34" s="150"/>
      <c r="BP34" s="150"/>
      <c r="BQ34" s="150"/>
      <c r="BR34" s="150"/>
      <c r="BS34" s="150"/>
      <c r="BT34" s="150"/>
      <c r="BU34" s="150"/>
      <c r="BV34" s="150"/>
      <c r="BW34" s="150"/>
      <c r="BX34" s="150"/>
      <c r="BY34" s="150"/>
      <c r="BZ34" s="150"/>
      <c r="CA34" s="150"/>
      <c r="CB34" s="150"/>
      <c r="CC34" s="150"/>
      <c r="CD34" s="150"/>
      <c r="CE34" s="150"/>
      <c r="CF34" s="150"/>
      <c r="CG34" s="150"/>
      <c r="CH34" s="150"/>
      <c r="CI34" s="150"/>
      <c r="CJ34" s="150"/>
      <c r="CK34" s="150"/>
      <c r="CL34" s="150"/>
      <c r="CM34" s="150"/>
      <c r="CN34" s="150"/>
      <c r="CO34" s="150"/>
      <c r="CP34" s="150"/>
      <c r="CQ34" s="150"/>
      <c r="CR34" s="150"/>
      <c r="CS34" s="150"/>
      <c r="DE34" s="150"/>
    </row>
    <row r="35" spans="2:109" ht="30" customHeight="1" x14ac:dyDescent="0.25">
      <c r="B35" s="152"/>
      <c r="C35" s="153"/>
      <c r="D35" s="154"/>
      <c r="E35" s="155"/>
      <c r="F35" s="156"/>
      <c r="G35" s="146"/>
      <c r="H35" s="146"/>
      <c r="I35" s="147" t="str">
        <f t="shared" si="4"/>
        <v/>
      </c>
      <c r="J35" s="157"/>
      <c r="K35" s="148" t="str">
        <f t="shared" si="5"/>
        <v/>
      </c>
      <c r="L35" s="148" t="str">
        <f t="shared" si="6"/>
        <v/>
      </c>
      <c r="M35" s="149" t="str">
        <f t="shared" si="7"/>
        <v/>
      </c>
      <c r="Q35" s="150"/>
      <c r="R35" s="150"/>
      <c r="S35" s="150"/>
      <c r="BG35" s="150"/>
      <c r="BH35" s="150"/>
      <c r="BI35" s="150"/>
      <c r="BJ35" s="150"/>
      <c r="BK35" s="150"/>
      <c r="BL35" s="150"/>
      <c r="BM35" s="150"/>
      <c r="BN35" s="150"/>
      <c r="BO35" s="150"/>
      <c r="BP35" s="150"/>
      <c r="BQ35" s="150"/>
      <c r="BR35" s="150"/>
      <c r="BS35" s="150"/>
      <c r="BT35" s="150"/>
      <c r="BU35" s="150"/>
      <c r="BV35" s="150"/>
      <c r="BW35" s="150"/>
      <c r="BX35" s="150"/>
      <c r="BY35" s="150"/>
      <c r="BZ35" s="150"/>
      <c r="CA35" s="150"/>
      <c r="CB35" s="150"/>
      <c r="CC35" s="150"/>
      <c r="CD35" s="150"/>
      <c r="CE35" s="150"/>
      <c r="CF35" s="150"/>
      <c r="CG35" s="150"/>
      <c r="CH35" s="150"/>
      <c r="CI35" s="150"/>
      <c r="CJ35" s="150"/>
      <c r="CK35" s="150"/>
      <c r="CL35" s="150"/>
      <c r="CM35" s="150"/>
      <c r="CN35" s="150"/>
      <c r="CO35" s="150"/>
      <c r="CP35" s="150"/>
      <c r="CQ35" s="150"/>
      <c r="CR35" s="150"/>
      <c r="CS35" s="150"/>
      <c r="DE35" s="150"/>
    </row>
    <row r="36" spans="2:109" ht="30" customHeight="1" x14ac:dyDescent="0.25">
      <c r="B36" s="152"/>
      <c r="C36" s="153"/>
      <c r="D36" s="154"/>
      <c r="E36" s="155"/>
      <c r="F36" s="156"/>
      <c r="G36" s="146"/>
      <c r="H36" s="146"/>
      <c r="I36" s="147" t="str">
        <f t="shared" si="4"/>
        <v/>
      </c>
      <c r="J36" s="157"/>
      <c r="K36" s="148" t="str">
        <f t="shared" si="5"/>
        <v/>
      </c>
      <c r="L36" s="148" t="str">
        <f t="shared" si="6"/>
        <v/>
      </c>
      <c r="M36" s="149" t="str">
        <f t="shared" si="7"/>
        <v/>
      </c>
      <c r="Q36" s="150"/>
      <c r="R36" s="150"/>
      <c r="S36" s="150"/>
      <c r="BG36" s="150"/>
      <c r="BH36" s="150"/>
      <c r="BI36" s="150"/>
      <c r="BJ36" s="150"/>
      <c r="BK36" s="150"/>
      <c r="BL36" s="150"/>
      <c r="BM36" s="150"/>
      <c r="BN36" s="150"/>
      <c r="BO36" s="150"/>
      <c r="BP36" s="150"/>
      <c r="BQ36" s="150"/>
      <c r="BR36" s="150"/>
      <c r="BS36" s="150"/>
      <c r="BT36" s="150"/>
      <c r="BU36" s="150"/>
      <c r="BV36" s="150"/>
      <c r="BW36" s="150"/>
      <c r="BX36" s="150"/>
      <c r="BY36" s="150"/>
      <c r="BZ36" s="150"/>
      <c r="CA36" s="150"/>
      <c r="CB36" s="150"/>
      <c r="CC36" s="150"/>
      <c r="CD36" s="150"/>
      <c r="CE36" s="150"/>
      <c r="CF36" s="150"/>
      <c r="CG36" s="150"/>
      <c r="CH36" s="150"/>
      <c r="CI36" s="150"/>
      <c r="CJ36" s="150"/>
      <c r="CK36" s="150"/>
      <c r="CL36" s="150"/>
      <c r="CM36" s="150"/>
      <c r="CN36" s="150"/>
      <c r="CO36" s="150"/>
      <c r="CP36" s="150"/>
      <c r="CQ36" s="150"/>
      <c r="CR36" s="150"/>
      <c r="CS36" s="150"/>
      <c r="DE36" s="150"/>
    </row>
    <row r="37" spans="2:109" ht="30" customHeight="1" x14ac:dyDescent="0.25">
      <c r="B37" s="152"/>
      <c r="C37" s="153"/>
      <c r="D37" s="154"/>
      <c r="E37" s="155"/>
      <c r="F37" s="156"/>
      <c r="G37" s="146"/>
      <c r="H37" s="146"/>
      <c r="I37" s="147" t="str">
        <f t="shared" si="4"/>
        <v/>
      </c>
      <c r="J37" s="157"/>
      <c r="K37" s="148" t="str">
        <f t="shared" si="5"/>
        <v/>
      </c>
      <c r="L37" s="148" t="str">
        <f t="shared" si="6"/>
        <v/>
      </c>
      <c r="M37" s="149" t="str">
        <f t="shared" si="7"/>
        <v/>
      </c>
      <c r="Q37" s="150"/>
      <c r="R37" s="150"/>
      <c r="S37" s="150"/>
      <c r="BG37" s="150"/>
      <c r="BH37" s="150"/>
      <c r="BI37" s="150"/>
      <c r="BJ37" s="150"/>
      <c r="BK37" s="150"/>
      <c r="BL37" s="150"/>
      <c r="BM37" s="150"/>
      <c r="BN37" s="150"/>
      <c r="BO37" s="150"/>
      <c r="BP37" s="150"/>
      <c r="BQ37" s="150"/>
      <c r="BR37" s="150"/>
      <c r="BS37" s="150"/>
      <c r="BT37" s="150"/>
      <c r="BU37" s="150"/>
      <c r="BV37" s="150"/>
      <c r="BW37" s="150"/>
      <c r="BX37" s="150"/>
      <c r="BY37" s="150"/>
      <c r="BZ37" s="150"/>
      <c r="CA37" s="150"/>
      <c r="CB37" s="150"/>
      <c r="CC37" s="150"/>
      <c r="CD37" s="150"/>
      <c r="CE37" s="150"/>
      <c r="CF37" s="150"/>
      <c r="CG37" s="150"/>
      <c r="CH37" s="150"/>
      <c r="CI37" s="150"/>
      <c r="CJ37" s="150"/>
      <c r="CK37" s="150"/>
      <c r="CL37" s="150"/>
      <c r="CM37" s="150"/>
      <c r="CN37" s="150"/>
      <c r="CO37" s="150"/>
      <c r="CP37" s="150"/>
      <c r="CQ37" s="150"/>
      <c r="CR37" s="150"/>
      <c r="CS37" s="150"/>
      <c r="DE37" s="150"/>
    </row>
    <row r="38" spans="2:109" ht="30" customHeight="1" x14ac:dyDescent="0.25">
      <c r="B38" s="152"/>
      <c r="C38" s="153"/>
      <c r="D38" s="154"/>
      <c r="E38" s="155"/>
      <c r="F38" s="156"/>
      <c r="G38" s="146"/>
      <c r="H38" s="146"/>
      <c r="I38" s="147" t="str">
        <f t="shared" si="4"/>
        <v/>
      </c>
      <c r="J38" s="157"/>
      <c r="K38" s="148" t="str">
        <f t="shared" si="5"/>
        <v/>
      </c>
      <c r="L38" s="148" t="str">
        <f t="shared" si="6"/>
        <v/>
      </c>
      <c r="M38" s="149" t="str">
        <f t="shared" si="7"/>
        <v/>
      </c>
      <c r="Q38" s="150"/>
      <c r="R38" s="150"/>
      <c r="S38" s="150"/>
      <c r="BG38" s="150"/>
      <c r="BH38" s="150"/>
      <c r="BI38" s="150"/>
      <c r="BJ38" s="150"/>
      <c r="BK38" s="150"/>
      <c r="BL38" s="150"/>
      <c r="BM38" s="150"/>
      <c r="BN38" s="150"/>
      <c r="BO38" s="150"/>
      <c r="BP38" s="150"/>
      <c r="BQ38" s="150"/>
      <c r="BR38" s="150"/>
      <c r="BS38" s="150"/>
      <c r="BT38" s="150"/>
      <c r="BU38" s="150"/>
      <c r="BV38" s="150"/>
      <c r="BW38" s="150"/>
      <c r="BX38" s="150"/>
      <c r="BY38" s="150"/>
      <c r="BZ38" s="150"/>
      <c r="CA38" s="150"/>
      <c r="CB38" s="150"/>
      <c r="CC38" s="150"/>
      <c r="CD38" s="150"/>
      <c r="CE38" s="150"/>
      <c r="CF38" s="150"/>
      <c r="CG38" s="150"/>
      <c r="CH38" s="150"/>
      <c r="CI38" s="150"/>
      <c r="CJ38" s="150"/>
      <c r="CK38" s="150"/>
      <c r="CL38" s="150"/>
      <c r="CM38" s="150"/>
      <c r="CN38" s="150"/>
      <c r="CO38" s="150"/>
      <c r="CP38" s="150"/>
      <c r="CQ38" s="150"/>
      <c r="CR38" s="150"/>
      <c r="CS38" s="150"/>
      <c r="DE38" s="150"/>
    </row>
    <row r="39" spans="2:109" ht="30" customHeight="1" x14ac:dyDescent="0.25">
      <c r="B39" s="152"/>
      <c r="C39" s="153"/>
      <c r="D39" s="154"/>
      <c r="E39" s="155"/>
      <c r="F39" s="156"/>
      <c r="G39" s="146"/>
      <c r="H39" s="146"/>
      <c r="I39" s="147" t="str">
        <f t="shared" si="4"/>
        <v/>
      </c>
      <c r="J39" s="157"/>
      <c r="K39" s="148" t="str">
        <f t="shared" si="5"/>
        <v/>
      </c>
      <c r="L39" s="148" t="str">
        <f t="shared" si="6"/>
        <v/>
      </c>
      <c r="M39" s="149" t="str">
        <f t="shared" si="7"/>
        <v/>
      </c>
      <c r="Q39" s="150"/>
      <c r="R39" s="150"/>
      <c r="S39" s="150"/>
      <c r="BG39" s="150"/>
      <c r="BH39" s="150"/>
      <c r="BI39" s="150"/>
      <c r="BJ39" s="150"/>
      <c r="BK39" s="150"/>
      <c r="BL39" s="150"/>
      <c r="BM39" s="150"/>
      <c r="BN39" s="150"/>
      <c r="BO39" s="150"/>
      <c r="BP39" s="150"/>
      <c r="BQ39" s="150"/>
      <c r="BR39" s="150"/>
      <c r="BS39" s="150"/>
      <c r="BT39" s="150"/>
      <c r="BU39" s="150"/>
      <c r="BV39" s="150"/>
      <c r="BW39" s="150"/>
      <c r="BX39" s="150"/>
      <c r="BY39" s="150"/>
      <c r="BZ39" s="150"/>
      <c r="CA39" s="150"/>
      <c r="CB39" s="150"/>
      <c r="CC39" s="150"/>
      <c r="CD39" s="150"/>
      <c r="CE39" s="150"/>
      <c r="CF39" s="150"/>
      <c r="CG39" s="150"/>
      <c r="CH39" s="150"/>
      <c r="CI39" s="150"/>
      <c r="CJ39" s="150"/>
      <c r="CK39" s="150"/>
      <c r="CL39" s="150"/>
      <c r="CM39" s="150"/>
      <c r="CN39" s="150"/>
      <c r="CO39" s="150"/>
      <c r="CP39" s="150"/>
      <c r="CQ39" s="150"/>
      <c r="CR39" s="150"/>
      <c r="CS39" s="150"/>
      <c r="DE39" s="150"/>
    </row>
    <row r="40" spans="2:109" ht="30" customHeight="1" x14ac:dyDescent="0.25">
      <c r="B40" s="152"/>
      <c r="C40" s="153"/>
      <c r="D40" s="154"/>
      <c r="E40" s="155"/>
      <c r="F40" s="156"/>
      <c r="G40" s="146"/>
      <c r="H40" s="146"/>
      <c r="I40" s="147" t="str">
        <f t="shared" si="4"/>
        <v/>
      </c>
      <c r="J40" s="157"/>
      <c r="K40" s="148" t="str">
        <f t="shared" si="5"/>
        <v/>
      </c>
      <c r="L40" s="148" t="str">
        <f t="shared" si="6"/>
        <v/>
      </c>
      <c r="M40" s="149" t="str">
        <f t="shared" si="7"/>
        <v/>
      </c>
      <c r="Q40" s="150"/>
      <c r="R40" s="150"/>
      <c r="S40" s="150"/>
      <c r="BG40" s="150"/>
      <c r="BH40" s="150"/>
      <c r="BI40" s="150"/>
      <c r="BJ40" s="150"/>
      <c r="BK40" s="150"/>
      <c r="BL40" s="150"/>
      <c r="BM40" s="150"/>
      <c r="BN40" s="150"/>
      <c r="BO40" s="150"/>
      <c r="BP40" s="150"/>
      <c r="BQ40" s="150"/>
      <c r="BR40" s="150"/>
      <c r="BS40" s="150"/>
      <c r="BT40" s="150"/>
      <c r="BU40" s="150"/>
      <c r="BV40" s="150"/>
      <c r="BW40" s="150"/>
      <c r="BX40" s="150"/>
      <c r="BY40" s="150"/>
      <c r="BZ40" s="150"/>
      <c r="CA40" s="150"/>
      <c r="CB40" s="150"/>
      <c r="CC40" s="150"/>
      <c r="CD40" s="150"/>
      <c r="CE40" s="150"/>
      <c r="CF40" s="150"/>
      <c r="CG40" s="150"/>
      <c r="CH40" s="150"/>
      <c r="CI40" s="150"/>
      <c r="CJ40" s="150"/>
      <c r="CK40" s="150"/>
      <c r="CL40" s="150"/>
      <c r="CM40" s="150"/>
      <c r="CN40" s="150"/>
      <c r="CO40" s="150"/>
      <c r="CP40" s="150"/>
      <c r="CQ40" s="150"/>
      <c r="CR40" s="150"/>
      <c r="CS40" s="150"/>
      <c r="DE40" s="150"/>
    </row>
    <row r="41" spans="2:109" ht="30" customHeight="1" x14ac:dyDescent="0.25">
      <c r="B41" s="152"/>
      <c r="C41" s="153"/>
      <c r="D41" s="154"/>
      <c r="E41" s="155"/>
      <c r="F41" s="156"/>
      <c r="G41" s="146"/>
      <c r="H41" s="146"/>
      <c r="I41" s="147" t="str">
        <f t="shared" si="4"/>
        <v/>
      </c>
      <c r="J41" s="157"/>
      <c r="K41" s="148" t="str">
        <f t="shared" si="5"/>
        <v/>
      </c>
      <c r="L41" s="148" t="str">
        <f t="shared" si="6"/>
        <v/>
      </c>
      <c r="M41" s="149" t="str">
        <f t="shared" si="7"/>
        <v/>
      </c>
      <c r="Q41" s="150"/>
      <c r="R41" s="150"/>
      <c r="S41" s="150"/>
      <c r="BG41" s="150"/>
      <c r="BH41" s="150"/>
      <c r="BI41" s="150"/>
      <c r="BJ41" s="150"/>
      <c r="BK41" s="150"/>
      <c r="BL41" s="150"/>
      <c r="BM41" s="150"/>
      <c r="BN41" s="150"/>
      <c r="BO41" s="150"/>
      <c r="BP41" s="150"/>
      <c r="BQ41" s="150"/>
      <c r="BR41" s="150"/>
      <c r="BS41" s="150"/>
      <c r="BT41" s="150"/>
      <c r="BU41" s="150"/>
      <c r="BV41" s="150"/>
      <c r="BW41" s="150"/>
      <c r="BX41" s="150"/>
      <c r="BY41" s="150"/>
      <c r="BZ41" s="150"/>
      <c r="CA41" s="150"/>
      <c r="CB41" s="150"/>
      <c r="CC41" s="150"/>
      <c r="CD41" s="150"/>
      <c r="CE41" s="150"/>
      <c r="CF41" s="150"/>
      <c r="CG41" s="150"/>
      <c r="CH41" s="150"/>
      <c r="CI41" s="150"/>
      <c r="CJ41" s="150"/>
      <c r="CK41" s="150"/>
      <c r="CL41" s="150"/>
      <c r="CM41" s="150"/>
      <c r="CN41" s="150"/>
      <c r="CO41" s="150"/>
      <c r="CP41" s="150"/>
      <c r="CQ41" s="150"/>
      <c r="CR41" s="150"/>
      <c r="CS41" s="150"/>
      <c r="DE41" s="150"/>
    </row>
    <row r="42" spans="2:109" ht="30" customHeight="1" x14ac:dyDescent="0.25">
      <c r="B42" s="152"/>
      <c r="C42" s="153"/>
      <c r="D42" s="154"/>
      <c r="E42" s="155"/>
      <c r="F42" s="156"/>
      <c r="G42" s="146"/>
      <c r="H42" s="146"/>
      <c r="I42" s="147" t="str">
        <f t="shared" si="4"/>
        <v/>
      </c>
      <c r="J42" s="157"/>
      <c r="K42" s="148" t="str">
        <f t="shared" si="5"/>
        <v/>
      </c>
      <c r="L42" s="148" t="str">
        <f t="shared" si="6"/>
        <v/>
      </c>
      <c r="M42" s="149" t="str">
        <f t="shared" si="7"/>
        <v/>
      </c>
      <c r="Q42" s="150"/>
      <c r="R42" s="150"/>
      <c r="S42" s="150"/>
      <c r="BG42" s="150"/>
      <c r="BH42" s="150"/>
      <c r="BI42" s="150"/>
      <c r="BJ42" s="150"/>
      <c r="BK42" s="150"/>
      <c r="BL42" s="150"/>
      <c r="BM42" s="150"/>
      <c r="BN42" s="150"/>
      <c r="BO42" s="150"/>
      <c r="BP42" s="150"/>
      <c r="BQ42" s="150"/>
      <c r="BR42" s="150"/>
      <c r="BS42" s="150"/>
      <c r="BT42" s="150"/>
      <c r="BU42" s="150"/>
      <c r="BV42" s="150"/>
      <c r="BW42" s="150"/>
      <c r="BX42" s="150"/>
      <c r="BY42" s="150"/>
      <c r="BZ42" s="150"/>
      <c r="CA42" s="150"/>
      <c r="CB42" s="150"/>
      <c r="CC42" s="150"/>
      <c r="CD42" s="150"/>
      <c r="CE42" s="150"/>
      <c r="CF42" s="150"/>
      <c r="CG42" s="150"/>
      <c r="CH42" s="150"/>
      <c r="CI42" s="150"/>
      <c r="CJ42" s="150"/>
      <c r="CK42" s="150"/>
      <c r="CL42" s="150"/>
      <c r="CM42" s="150"/>
      <c r="CN42" s="150"/>
      <c r="CO42" s="150"/>
      <c r="CP42" s="150"/>
      <c r="CQ42" s="150"/>
      <c r="CR42" s="150"/>
      <c r="CS42" s="150"/>
      <c r="DE42" s="150"/>
    </row>
    <row r="43" spans="2:109" ht="30" customHeight="1" x14ac:dyDescent="0.25">
      <c r="B43" s="152"/>
      <c r="C43" s="153"/>
      <c r="D43" s="154"/>
      <c r="E43" s="155"/>
      <c r="F43" s="156"/>
      <c r="G43" s="146"/>
      <c r="H43" s="146"/>
      <c r="I43" s="147" t="str">
        <f t="shared" si="4"/>
        <v/>
      </c>
      <c r="J43" s="157"/>
      <c r="K43" s="148" t="str">
        <f t="shared" si="5"/>
        <v/>
      </c>
      <c r="L43" s="148" t="str">
        <f t="shared" si="6"/>
        <v/>
      </c>
      <c r="M43" s="149" t="str">
        <f t="shared" si="7"/>
        <v/>
      </c>
      <c r="Q43" s="150"/>
      <c r="R43" s="150"/>
      <c r="S43" s="150"/>
      <c r="BG43" s="150"/>
      <c r="BH43" s="150"/>
      <c r="BI43" s="150"/>
      <c r="BJ43" s="150"/>
      <c r="BK43" s="150"/>
      <c r="BL43" s="150"/>
      <c r="BM43" s="150"/>
      <c r="BN43" s="150"/>
      <c r="BO43" s="150"/>
      <c r="BP43" s="150"/>
      <c r="BQ43" s="150"/>
      <c r="BR43" s="150"/>
      <c r="BS43" s="150"/>
      <c r="BT43" s="150"/>
      <c r="BU43" s="150"/>
      <c r="BV43" s="150"/>
      <c r="BW43" s="150"/>
      <c r="BX43" s="150"/>
      <c r="BY43" s="150"/>
      <c r="BZ43" s="150"/>
      <c r="CA43" s="150"/>
      <c r="CB43" s="150"/>
      <c r="CC43" s="150"/>
      <c r="CD43" s="150"/>
      <c r="CE43" s="150"/>
      <c r="CF43" s="150"/>
      <c r="CG43" s="150"/>
      <c r="CH43" s="150"/>
      <c r="CI43" s="150"/>
      <c r="CJ43" s="150"/>
      <c r="CK43" s="150"/>
      <c r="CL43" s="150"/>
      <c r="CM43" s="150"/>
      <c r="CN43" s="150"/>
      <c r="CO43" s="150"/>
      <c r="CP43" s="150"/>
      <c r="CQ43" s="150"/>
      <c r="CR43" s="150"/>
      <c r="CS43" s="150"/>
      <c r="DE43" s="150"/>
    </row>
    <row r="44" spans="2:109" ht="30" customHeight="1" x14ac:dyDescent="0.25">
      <c r="B44" s="152"/>
      <c r="C44" s="153"/>
      <c r="D44" s="154"/>
      <c r="E44" s="155"/>
      <c r="F44" s="156"/>
      <c r="G44" s="146"/>
      <c r="H44" s="146"/>
      <c r="I44" s="147" t="str">
        <f t="shared" si="4"/>
        <v/>
      </c>
      <c r="J44" s="157"/>
      <c r="K44" s="148" t="str">
        <f t="shared" si="5"/>
        <v/>
      </c>
      <c r="L44" s="148" t="str">
        <f t="shared" si="6"/>
        <v/>
      </c>
      <c r="M44" s="149" t="str">
        <f t="shared" si="7"/>
        <v/>
      </c>
      <c r="Q44" s="150"/>
      <c r="R44" s="150"/>
      <c r="S44" s="150"/>
      <c r="BG44" s="150"/>
      <c r="BH44" s="150"/>
      <c r="BI44" s="150"/>
      <c r="BJ44" s="150"/>
      <c r="BK44" s="150"/>
      <c r="BL44" s="150"/>
      <c r="BM44" s="150"/>
      <c r="BN44" s="150"/>
      <c r="BO44" s="150"/>
      <c r="BP44" s="150"/>
      <c r="BQ44" s="150"/>
      <c r="BR44" s="150"/>
      <c r="BS44" s="150"/>
      <c r="BT44" s="150"/>
      <c r="BU44" s="150"/>
      <c r="BV44" s="150"/>
      <c r="BW44" s="150"/>
      <c r="BX44" s="150"/>
      <c r="BY44" s="150"/>
      <c r="BZ44" s="150"/>
      <c r="CA44" s="150"/>
      <c r="CB44" s="150"/>
      <c r="CC44" s="150"/>
      <c r="CD44" s="150"/>
      <c r="CE44" s="150"/>
      <c r="CF44" s="150"/>
      <c r="CG44" s="150"/>
      <c r="CH44" s="150"/>
      <c r="CI44" s="150"/>
      <c r="CJ44" s="150"/>
      <c r="CK44" s="150"/>
      <c r="CL44" s="150"/>
      <c r="CM44" s="150"/>
      <c r="CN44" s="150"/>
      <c r="CO44" s="150"/>
      <c r="CP44" s="150"/>
      <c r="CQ44" s="150"/>
      <c r="CR44" s="150"/>
      <c r="CS44" s="150"/>
      <c r="DE44" s="150"/>
    </row>
    <row r="45" spans="2:109" ht="30" customHeight="1" x14ac:dyDescent="0.25">
      <c r="B45" s="152"/>
      <c r="C45" s="153"/>
      <c r="D45" s="154"/>
      <c r="E45" s="155"/>
      <c r="F45" s="156"/>
      <c r="G45" s="146"/>
      <c r="H45" s="146"/>
      <c r="I45" s="147" t="str">
        <f t="shared" si="4"/>
        <v/>
      </c>
      <c r="J45" s="157"/>
      <c r="K45" s="148" t="str">
        <f t="shared" si="5"/>
        <v/>
      </c>
      <c r="L45" s="148" t="str">
        <f t="shared" si="6"/>
        <v/>
      </c>
      <c r="M45" s="149" t="str">
        <f t="shared" si="7"/>
        <v/>
      </c>
      <c r="Q45" s="150"/>
      <c r="R45" s="150"/>
      <c r="S45" s="150"/>
      <c r="BG45" s="150"/>
      <c r="BH45" s="150"/>
      <c r="BI45" s="150"/>
      <c r="BJ45" s="150"/>
      <c r="BK45" s="150"/>
      <c r="BL45" s="150"/>
      <c r="BM45" s="150"/>
      <c r="BN45" s="150"/>
      <c r="BO45" s="150"/>
      <c r="BP45" s="150"/>
      <c r="BQ45" s="150"/>
      <c r="BR45" s="150"/>
      <c r="BS45" s="150"/>
      <c r="BT45" s="150"/>
      <c r="BU45" s="150"/>
      <c r="BV45" s="150"/>
      <c r="BW45" s="150"/>
      <c r="BX45" s="150"/>
      <c r="BY45" s="150"/>
      <c r="BZ45" s="150"/>
      <c r="CA45" s="150"/>
      <c r="CB45" s="150"/>
      <c r="CC45" s="150"/>
      <c r="CD45" s="150"/>
      <c r="CE45" s="150"/>
      <c r="CF45" s="150"/>
      <c r="CG45" s="150"/>
      <c r="CH45" s="150"/>
      <c r="CI45" s="150"/>
      <c r="CJ45" s="150"/>
      <c r="CK45" s="150"/>
      <c r="CL45" s="150"/>
      <c r="CM45" s="150"/>
      <c r="CN45" s="150"/>
      <c r="CO45" s="150"/>
      <c r="CP45" s="150"/>
      <c r="CQ45" s="150"/>
      <c r="CR45" s="150"/>
      <c r="CS45" s="150"/>
      <c r="DE45" s="150"/>
    </row>
    <row r="46" spans="2:109" ht="30" customHeight="1" x14ac:dyDescent="0.25">
      <c r="B46" s="152"/>
      <c r="C46" s="153"/>
      <c r="D46" s="154"/>
      <c r="E46" s="155"/>
      <c r="F46" s="156"/>
      <c r="G46" s="146"/>
      <c r="H46" s="146"/>
      <c r="I46" s="147" t="str">
        <f t="shared" si="4"/>
        <v/>
      </c>
      <c r="J46" s="157"/>
      <c r="K46" s="148" t="str">
        <f t="shared" si="5"/>
        <v/>
      </c>
      <c r="L46" s="148" t="str">
        <f t="shared" si="6"/>
        <v/>
      </c>
      <c r="M46" s="149" t="str">
        <f t="shared" si="7"/>
        <v/>
      </c>
      <c r="Q46" s="150"/>
      <c r="R46" s="150"/>
      <c r="S46" s="150"/>
      <c r="BG46" s="150"/>
      <c r="BH46" s="150"/>
      <c r="BI46" s="150"/>
      <c r="BJ46" s="150"/>
      <c r="BK46" s="150"/>
      <c r="BL46" s="150"/>
      <c r="BM46" s="150"/>
      <c r="BN46" s="150"/>
      <c r="BO46" s="150"/>
      <c r="BP46" s="150"/>
      <c r="BQ46" s="150"/>
      <c r="BR46" s="150"/>
      <c r="BS46" s="150"/>
      <c r="BT46" s="150"/>
      <c r="BU46" s="150"/>
      <c r="BV46" s="150"/>
      <c r="BW46" s="150"/>
      <c r="BX46" s="150"/>
      <c r="BY46" s="150"/>
      <c r="BZ46" s="150"/>
      <c r="CA46" s="150"/>
      <c r="CB46" s="150"/>
      <c r="CC46" s="150"/>
      <c r="CD46" s="150"/>
      <c r="CE46" s="150"/>
      <c r="CF46" s="150"/>
      <c r="CG46" s="150"/>
      <c r="CH46" s="150"/>
      <c r="CI46" s="150"/>
      <c r="CJ46" s="150"/>
      <c r="CK46" s="150"/>
      <c r="CL46" s="150"/>
      <c r="CM46" s="150"/>
      <c r="CN46" s="150"/>
      <c r="CO46" s="150"/>
      <c r="CP46" s="150"/>
      <c r="CQ46" s="150"/>
      <c r="CR46" s="150"/>
      <c r="CS46" s="150"/>
      <c r="DE46" s="150"/>
    </row>
    <row r="47" spans="2:109" ht="30" customHeight="1" x14ac:dyDescent="0.25">
      <c r="B47" s="152"/>
      <c r="C47" s="153"/>
      <c r="D47" s="154"/>
      <c r="E47" s="155"/>
      <c r="F47" s="156"/>
      <c r="G47" s="146"/>
      <c r="H47" s="146"/>
      <c r="I47" s="147" t="str">
        <f t="shared" si="4"/>
        <v/>
      </c>
      <c r="J47" s="157"/>
      <c r="K47" s="148" t="str">
        <f t="shared" si="5"/>
        <v/>
      </c>
      <c r="L47" s="148" t="str">
        <f t="shared" si="6"/>
        <v/>
      </c>
      <c r="M47" s="149" t="str">
        <f t="shared" si="7"/>
        <v/>
      </c>
      <c r="Q47" s="150"/>
      <c r="R47" s="150"/>
      <c r="S47" s="150"/>
      <c r="BG47" s="150"/>
      <c r="BH47" s="150"/>
      <c r="BI47" s="150"/>
      <c r="BJ47" s="150"/>
      <c r="BK47" s="150"/>
      <c r="BL47" s="150"/>
      <c r="BM47" s="150"/>
      <c r="BN47" s="150"/>
      <c r="BO47" s="150"/>
      <c r="BP47" s="150"/>
      <c r="BQ47" s="150"/>
      <c r="BR47" s="150"/>
      <c r="BS47" s="150"/>
      <c r="BT47" s="150"/>
      <c r="BU47" s="150"/>
      <c r="BV47" s="150"/>
      <c r="BW47" s="150"/>
      <c r="BX47" s="150"/>
      <c r="BY47" s="150"/>
      <c r="BZ47" s="150"/>
      <c r="CA47" s="150"/>
      <c r="CB47" s="150"/>
      <c r="CC47" s="150"/>
      <c r="CD47" s="150"/>
      <c r="CE47" s="150"/>
      <c r="CF47" s="150"/>
      <c r="CG47" s="150"/>
      <c r="CH47" s="150"/>
      <c r="CI47" s="150"/>
      <c r="CJ47" s="150"/>
      <c r="CK47" s="150"/>
      <c r="CL47" s="150"/>
      <c r="CM47" s="150"/>
      <c r="CN47" s="150"/>
      <c r="CO47" s="150"/>
      <c r="CP47" s="150"/>
      <c r="CQ47" s="150"/>
      <c r="CR47" s="150"/>
      <c r="CS47" s="150"/>
      <c r="DE47" s="150"/>
    </row>
    <row r="48" spans="2:109" ht="30" customHeight="1" x14ac:dyDescent="0.25">
      <c r="B48" s="152"/>
      <c r="C48" s="153"/>
      <c r="D48" s="154"/>
      <c r="E48" s="155"/>
      <c r="F48" s="156"/>
      <c r="G48" s="146"/>
      <c r="H48" s="146"/>
      <c r="I48" s="147" t="str">
        <f t="shared" si="4"/>
        <v/>
      </c>
      <c r="J48" s="157"/>
      <c r="K48" s="148" t="str">
        <f t="shared" si="5"/>
        <v/>
      </c>
      <c r="L48" s="148" t="str">
        <f t="shared" si="6"/>
        <v/>
      </c>
      <c r="M48" s="149" t="str">
        <f t="shared" si="7"/>
        <v/>
      </c>
      <c r="Q48" s="150"/>
      <c r="R48" s="150"/>
      <c r="S48" s="150"/>
      <c r="BG48" s="150"/>
      <c r="BH48" s="150"/>
      <c r="BI48" s="150"/>
      <c r="BJ48" s="150"/>
      <c r="BK48" s="150"/>
      <c r="BL48" s="150"/>
      <c r="BM48" s="150"/>
      <c r="BN48" s="150"/>
      <c r="BO48" s="150"/>
      <c r="BP48" s="150"/>
      <c r="BQ48" s="150"/>
      <c r="BR48" s="150"/>
      <c r="BS48" s="150"/>
      <c r="BT48" s="150"/>
      <c r="BU48" s="150"/>
      <c r="BV48" s="150"/>
      <c r="BW48" s="150"/>
      <c r="BX48" s="150"/>
      <c r="BY48" s="150"/>
      <c r="BZ48" s="150"/>
      <c r="CA48" s="150"/>
      <c r="CB48" s="150"/>
      <c r="CC48" s="150"/>
      <c r="CD48" s="150"/>
      <c r="CE48" s="150"/>
      <c r="CF48" s="150"/>
      <c r="CG48" s="150"/>
      <c r="CH48" s="150"/>
      <c r="CI48" s="150"/>
      <c r="CJ48" s="150"/>
      <c r="CK48" s="150"/>
      <c r="CL48" s="150"/>
      <c r="CM48" s="150"/>
      <c r="CN48" s="150"/>
      <c r="CO48" s="150"/>
      <c r="CP48" s="150"/>
      <c r="CQ48" s="150"/>
      <c r="CR48" s="150"/>
      <c r="CS48" s="150"/>
      <c r="DE48" s="150"/>
    </row>
    <row r="49" spans="2:109" ht="30" customHeight="1" x14ac:dyDescent="0.25">
      <c r="B49" s="152"/>
      <c r="C49" s="153"/>
      <c r="D49" s="154"/>
      <c r="E49" s="155"/>
      <c r="F49" s="156"/>
      <c r="G49" s="146"/>
      <c r="H49" s="146"/>
      <c r="I49" s="147" t="str">
        <f t="shared" si="4"/>
        <v/>
      </c>
      <c r="J49" s="157"/>
      <c r="K49" s="148" t="str">
        <f t="shared" si="5"/>
        <v/>
      </c>
      <c r="L49" s="148" t="str">
        <f t="shared" si="6"/>
        <v/>
      </c>
      <c r="M49" s="149" t="str">
        <f t="shared" si="7"/>
        <v/>
      </c>
      <c r="Q49" s="150"/>
      <c r="R49" s="150"/>
      <c r="S49" s="150"/>
      <c r="BG49" s="150"/>
      <c r="BH49" s="150"/>
      <c r="BI49" s="150"/>
      <c r="BJ49" s="150"/>
      <c r="BK49" s="150"/>
      <c r="BL49" s="150"/>
      <c r="BM49" s="150"/>
      <c r="BN49" s="150"/>
      <c r="BO49" s="150"/>
      <c r="BP49" s="150"/>
      <c r="BQ49" s="150"/>
      <c r="BR49" s="150"/>
      <c r="BS49" s="150"/>
      <c r="BT49" s="150"/>
      <c r="BU49" s="150"/>
      <c r="BV49" s="150"/>
      <c r="BW49" s="150"/>
      <c r="BX49" s="150"/>
      <c r="BY49" s="150"/>
      <c r="BZ49" s="150"/>
      <c r="CA49" s="150"/>
      <c r="CB49" s="150"/>
      <c r="CC49" s="150"/>
      <c r="CD49" s="150"/>
      <c r="CE49" s="150"/>
      <c r="CF49" s="150"/>
      <c r="CG49" s="150"/>
      <c r="CH49" s="150"/>
      <c r="CI49" s="150"/>
      <c r="CJ49" s="150"/>
      <c r="CK49" s="150"/>
      <c r="CL49" s="150"/>
      <c r="CM49" s="150"/>
      <c r="CN49" s="150"/>
      <c r="CO49" s="150"/>
      <c r="CP49" s="150"/>
      <c r="CQ49" s="150"/>
      <c r="CR49" s="150"/>
      <c r="CS49" s="150"/>
      <c r="DE49" s="150"/>
    </row>
    <row r="50" spans="2:109" ht="30" customHeight="1" x14ac:dyDescent="0.25">
      <c r="B50" s="152"/>
      <c r="C50" s="153"/>
      <c r="D50" s="154"/>
      <c r="E50" s="155"/>
      <c r="F50" s="156"/>
      <c r="G50" s="146"/>
      <c r="H50" s="146"/>
      <c r="I50" s="147" t="str">
        <f t="shared" si="4"/>
        <v/>
      </c>
      <c r="J50" s="157"/>
      <c r="K50" s="148" t="str">
        <f t="shared" si="5"/>
        <v/>
      </c>
      <c r="L50" s="148" t="str">
        <f t="shared" si="6"/>
        <v/>
      </c>
      <c r="M50" s="149" t="str">
        <f t="shared" si="7"/>
        <v/>
      </c>
      <c r="Q50" s="150"/>
      <c r="R50" s="150"/>
      <c r="S50" s="150"/>
      <c r="BG50" s="150"/>
      <c r="BH50" s="150"/>
      <c r="BI50" s="150"/>
      <c r="BJ50" s="150"/>
      <c r="BK50" s="150"/>
      <c r="BL50" s="150"/>
      <c r="BM50" s="150"/>
      <c r="BN50" s="150"/>
      <c r="BO50" s="150"/>
      <c r="BP50" s="150"/>
      <c r="BQ50" s="150"/>
      <c r="BR50" s="150"/>
      <c r="BS50" s="150"/>
      <c r="BT50" s="150"/>
      <c r="BU50" s="150"/>
      <c r="BV50" s="150"/>
      <c r="BW50" s="150"/>
      <c r="BX50" s="150"/>
      <c r="BY50" s="150"/>
      <c r="BZ50" s="150"/>
      <c r="CA50" s="150"/>
      <c r="CB50" s="150"/>
      <c r="CC50" s="150"/>
      <c r="CD50" s="150"/>
      <c r="CE50" s="150"/>
      <c r="CF50" s="150"/>
      <c r="CG50" s="150"/>
      <c r="CH50" s="150"/>
      <c r="CI50" s="150"/>
      <c r="CJ50" s="150"/>
      <c r="CK50" s="150"/>
      <c r="CL50" s="150"/>
      <c r="CM50" s="150"/>
      <c r="CN50" s="150"/>
      <c r="CO50" s="150"/>
      <c r="CP50" s="150"/>
      <c r="CQ50" s="150"/>
      <c r="CR50" s="150"/>
      <c r="CS50" s="150"/>
      <c r="DE50" s="150"/>
    </row>
    <row r="51" spans="2:109" ht="30" customHeight="1" x14ac:dyDescent="0.25">
      <c r="B51" s="152"/>
      <c r="C51" s="153"/>
      <c r="D51" s="154"/>
      <c r="E51" s="155"/>
      <c r="F51" s="156"/>
      <c r="G51" s="146"/>
      <c r="H51" s="146"/>
      <c r="I51" s="147" t="str">
        <f t="shared" si="4"/>
        <v/>
      </c>
      <c r="J51" s="157"/>
      <c r="K51" s="148" t="str">
        <f t="shared" si="5"/>
        <v/>
      </c>
      <c r="L51" s="148" t="str">
        <f t="shared" si="6"/>
        <v/>
      </c>
      <c r="M51" s="149" t="str">
        <f t="shared" si="7"/>
        <v/>
      </c>
      <c r="Q51" s="150"/>
      <c r="R51" s="150"/>
      <c r="S51" s="150"/>
      <c r="BG51" s="150"/>
      <c r="BH51" s="150"/>
      <c r="BI51" s="150"/>
      <c r="BJ51" s="150"/>
      <c r="BK51" s="150"/>
      <c r="BL51" s="150"/>
      <c r="BM51" s="150"/>
      <c r="BN51" s="150"/>
      <c r="BO51" s="150"/>
      <c r="BP51" s="150"/>
      <c r="BQ51" s="150"/>
      <c r="BR51" s="150"/>
      <c r="BS51" s="150"/>
      <c r="BT51" s="150"/>
      <c r="BU51" s="150"/>
      <c r="BV51" s="150"/>
      <c r="BW51" s="150"/>
      <c r="BX51" s="150"/>
      <c r="BY51" s="150"/>
      <c r="BZ51" s="150"/>
      <c r="CA51" s="150"/>
      <c r="CB51" s="150"/>
      <c r="CC51" s="150"/>
      <c r="CD51" s="150"/>
      <c r="CE51" s="150"/>
      <c r="CF51" s="150"/>
      <c r="CG51" s="150"/>
      <c r="CH51" s="150"/>
      <c r="CI51" s="150"/>
      <c r="CJ51" s="150"/>
      <c r="CK51" s="150"/>
      <c r="CL51" s="150"/>
      <c r="CM51" s="150"/>
      <c r="CN51" s="150"/>
      <c r="CO51" s="150"/>
      <c r="CP51" s="150"/>
      <c r="CQ51" s="150"/>
      <c r="CR51" s="150"/>
      <c r="CS51" s="150"/>
      <c r="DE51" s="150"/>
    </row>
    <row r="52" spans="2:109" ht="30" customHeight="1" x14ac:dyDescent="0.25">
      <c r="B52" s="152"/>
      <c r="C52" s="153"/>
      <c r="D52" s="154"/>
      <c r="E52" s="155"/>
      <c r="F52" s="156"/>
      <c r="G52" s="146"/>
      <c r="H52" s="146"/>
      <c r="I52" s="147" t="str">
        <f t="shared" si="4"/>
        <v/>
      </c>
      <c r="J52" s="157"/>
      <c r="K52" s="148" t="str">
        <f t="shared" si="5"/>
        <v/>
      </c>
      <c r="L52" s="148" t="str">
        <f t="shared" si="6"/>
        <v/>
      </c>
      <c r="M52" s="149" t="str">
        <f t="shared" si="7"/>
        <v/>
      </c>
      <c r="Q52" s="150"/>
      <c r="R52" s="150"/>
      <c r="S52" s="150"/>
      <c r="BG52" s="150"/>
      <c r="BH52" s="150"/>
      <c r="BI52" s="150"/>
      <c r="BJ52" s="150"/>
      <c r="BK52" s="150"/>
      <c r="BL52" s="150"/>
      <c r="BM52" s="150"/>
      <c r="BN52" s="150"/>
      <c r="BO52" s="150"/>
      <c r="BP52" s="150"/>
      <c r="BQ52" s="150"/>
      <c r="BR52" s="150"/>
      <c r="BS52" s="150"/>
      <c r="BT52" s="150"/>
      <c r="BU52" s="150"/>
      <c r="BV52" s="150"/>
      <c r="BW52" s="150"/>
      <c r="BX52" s="150"/>
      <c r="BY52" s="150"/>
      <c r="BZ52" s="150"/>
      <c r="CA52" s="150"/>
      <c r="CB52" s="150"/>
      <c r="CC52" s="150"/>
      <c r="CD52" s="150"/>
      <c r="CE52" s="150"/>
      <c r="CF52" s="150"/>
      <c r="CG52" s="150"/>
      <c r="CH52" s="150"/>
      <c r="CI52" s="150"/>
      <c r="CJ52" s="150"/>
      <c r="CK52" s="150"/>
      <c r="CL52" s="150"/>
      <c r="CM52" s="150"/>
      <c r="CN52" s="150"/>
      <c r="CO52" s="150"/>
      <c r="CP52" s="150"/>
      <c r="CQ52" s="150"/>
      <c r="CR52" s="150"/>
      <c r="CS52" s="150"/>
      <c r="DE52" s="150"/>
    </row>
    <row r="53" spans="2:109" ht="30" customHeight="1" x14ac:dyDescent="0.25">
      <c r="B53" s="152"/>
      <c r="C53" s="153"/>
      <c r="D53" s="154"/>
      <c r="E53" s="155"/>
      <c r="F53" s="156"/>
      <c r="G53" s="146"/>
      <c r="H53" s="146"/>
      <c r="I53" s="147" t="str">
        <f t="shared" si="4"/>
        <v/>
      </c>
      <c r="J53" s="157"/>
      <c r="K53" s="148" t="str">
        <f t="shared" si="5"/>
        <v/>
      </c>
      <c r="L53" s="148" t="str">
        <f t="shared" si="6"/>
        <v/>
      </c>
      <c r="M53" s="149" t="str">
        <f t="shared" si="7"/>
        <v/>
      </c>
      <c r="Q53" s="150"/>
      <c r="R53" s="150"/>
      <c r="S53" s="150"/>
      <c r="BG53" s="150"/>
      <c r="BH53" s="150"/>
      <c r="BI53" s="150"/>
      <c r="BJ53" s="150"/>
      <c r="BK53" s="150"/>
      <c r="BL53" s="150"/>
      <c r="BM53" s="150"/>
      <c r="BN53" s="150"/>
      <c r="BO53" s="150"/>
      <c r="BP53" s="150"/>
      <c r="BQ53" s="150"/>
      <c r="BR53" s="150"/>
      <c r="BS53" s="150"/>
      <c r="BT53" s="150"/>
      <c r="BU53" s="150"/>
      <c r="BV53" s="150"/>
      <c r="BW53" s="150"/>
      <c r="BX53" s="150"/>
      <c r="BY53" s="150"/>
      <c r="BZ53" s="150"/>
      <c r="CA53" s="150"/>
      <c r="CB53" s="150"/>
      <c r="CC53" s="150"/>
      <c r="CD53" s="150"/>
      <c r="CE53" s="150"/>
      <c r="CF53" s="150"/>
      <c r="CG53" s="150"/>
      <c r="CH53" s="150"/>
      <c r="CI53" s="150"/>
      <c r="CJ53" s="150"/>
      <c r="CK53" s="150"/>
      <c r="CL53" s="150"/>
      <c r="CM53" s="150"/>
      <c r="CN53" s="150"/>
      <c r="CO53" s="150"/>
      <c r="CP53" s="150"/>
      <c r="CQ53" s="150"/>
      <c r="CR53" s="150"/>
      <c r="CS53" s="150"/>
      <c r="DE53" s="150"/>
    </row>
    <row r="54" spans="2:109" ht="30" customHeight="1" x14ac:dyDescent="0.25">
      <c r="B54" s="152"/>
      <c r="C54" s="153"/>
      <c r="D54" s="154"/>
      <c r="E54" s="155"/>
      <c r="F54" s="156"/>
      <c r="G54" s="146"/>
      <c r="H54" s="146"/>
      <c r="I54" s="147" t="str">
        <f t="shared" si="4"/>
        <v/>
      </c>
      <c r="J54" s="157"/>
      <c r="K54" s="148" t="str">
        <f t="shared" si="5"/>
        <v/>
      </c>
      <c r="L54" s="148" t="str">
        <f t="shared" si="6"/>
        <v/>
      </c>
      <c r="M54" s="149" t="str">
        <f t="shared" si="7"/>
        <v/>
      </c>
      <c r="Q54" s="150"/>
      <c r="R54" s="150"/>
      <c r="S54" s="150"/>
      <c r="BG54" s="150"/>
      <c r="BH54" s="150"/>
      <c r="BI54" s="150"/>
      <c r="BJ54" s="150"/>
      <c r="BK54" s="150"/>
      <c r="BL54" s="150"/>
      <c r="BM54" s="150"/>
      <c r="BN54" s="150"/>
      <c r="BO54" s="150"/>
      <c r="BP54" s="150"/>
      <c r="BQ54" s="150"/>
      <c r="BR54" s="150"/>
      <c r="BS54" s="150"/>
      <c r="BT54" s="150"/>
      <c r="BU54" s="150"/>
      <c r="BV54" s="150"/>
      <c r="BW54" s="150"/>
      <c r="BX54" s="150"/>
      <c r="BY54" s="150"/>
      <c r="BZ54" s="150"/>
      <c r="CA54" s="150"/>
      <c r="CB54" s="150"/>
      <c r="CC54" s="150"/>
      <c r="CD54" s="150"/>
      <c r="CE54" s="150"/>
      <c r="CF54" s="150"/>
      <c r="CG54" s="150"/>
      <c r="CH54" s="150"/>
      <c r="CI54" s="150"/>
      <c r="CJ54" s="150"/>
      <c r="CK54" s="150"/>
      <c r="CL54" s="150"/>
      <c r="CM54" s="150"/>
      <c r="CN54" s="150"/>
      <c r="CO54" s="150"/>
      <c r="CP54" s="150"/>
      <c r="CQ54" s="150"/>
      <c r="CR54" s="150"/>
      <c r="CS54" s="150"/>
      <c r="DE54" s="150"/>
    </row>
    <row r="55" spans="2:109" ht="30" customHeight="1" x14ac:dyDescent="0.25">
      <c r="B55" s="152"/>
      <c r="C55" s="153"/>
      <c r="D55" s="154"/>
      <c r="E55" s="155"/>
      <c r="F55" s="156"/>
      <c r="G55" s="146"/>
      <c r="H55" s="146"/>
      <c r="I55" s="147" t="str">
        <f t="shared" si="4"/>
        <v/>
      </c>
      <c r="J55" s="157"/>
      <c r="K55" s="148" t="str">
        <f t="shared" si="5"/>
        <v/>
      </c>
      <c r="L55" s="148" t="str">
        <f t="shared" si="6"/>
        <v/>
      </c>
      <c r="M55" s="149" t="str">
        <f t="shared" si="7"/>
        <v/>
      </c>
      <c r="Q55" s="150"/>
      <c r="R55" s="150"/>
      <c r="S55" s="150"/>
      <c r="BG55" s="150"/>
      <c r="BH55" s="150"/>
      <c r="BI55" s="150"/>
      <c r="BJ55" s="150"/>
      <c r="BK55" s="150"/>
      <c r="BL55" s="150"/>
      <c r="BM55" s="150"/>
      <c r="BN55" s="150"/>
      <c r="BO55" s="150"/>
      <c r="BP55" s="150"/>
      <c r="BQ55" s="150"/>
      <c r="BR55" s="150"/>
      <c r="BS55" s="150"/>
      <c r="BT55" s="150"/>
      <c r="BU55" s="150"/>
      <c r="BV55" s="150"/>
      <c r="BW55" s="150"/>
      <c r="BX55" s="150"/>
      <c r="BY55" s="150"/>
      <c r="BZ55" s="150"/>
      <c r="CA55" s="150"/>
      <c r="CB55" s="150"/>
      <c r="CC55" s="150"/>
      <c r="CD55" s="150"/>
      <c r="CE55" s="150"/>
      <c r="CF55" s="150"/>
      <c r="CG55" s="150"/>
      <c r="CH55" s="150"/>
      <c r="CI55" s="150"/>
      <c r="CJ55" s="150"/>
      <c r="CK55" s="150"/>
      <c r="CL55" s="150"/>
      <c r="CM55" s="150"/>
      <c r="CN55" s="150"/>
      <c r="CO55" s="150"/>
      <c r="CP55" s="150"/>
      <c r="CQ55" s="150"/>
      <c r="CR55" s="150"/>
      <c r="CS55" s="150"/>
      <c r="DE55" s="150"/>
    </row>
    <row r="56" spans="2:109" ht="30" customHeight="1" x14ac:dyDescent="0.25">
      <c r="B56" s="152"/>
      <c r="C56" s="153"/>
      <c r="D56" s="154"/>
      <c r="E56" s="155"/>
      <c r="F56" s="156"/>
      <c r="G56" s="146"/>
      <c r="H56" s="146"/>
      <c r="I56" s="147" t="str">
        <f t="shared" si="4"/>
        <v/>
      </c>
      <c r="J56" s="157"/>
      <c r="K56" s="148" t="str">
        <f t="shared" si="5"/>
        <v/>
      </c>
      <c r="L56" s="148" t="str">
        <f t="shared" si="6"/>
        <v/>
      </c>
      <c r="M56" s="149" t="str">
        <f t="shared" si="7"/>
        <v/>
      </c>
      <c r="Q56" s="150"/>
      <c r="R56" s="150"/>
      <c r="S56" s="150"/>
      <c r="BG56" s="150"/>
      <c r="BH56" s="150"/>
      <c r="BI56" s="150"/>
      <c r="BJ56" s="150"/>
      <c r="BK56" s="150"/>
      <c r="BL56" s="150"/>
      <c r="BM56" s="150"/>
      <c r="BN56" s="150"/>
      <c r="BO56" s="150"/>
      <c r="BP56" s="150"/>
      <c r="BQ56" s="150"/>
      <c r="BR56" s="150"/>
      <c r="BS56" s="150"/>
      <c r="BT56" s="150"/>
      <c r="BU56" s="150"/>
      <c r="BV56" s="150"/>
      <c r="BW56" s="150"/>
      <c r="BX56" s="150"/>
      <c r="BY56" s="150"/>
      <c r="BZ56" s="150"/>
      <c r="CA56" s="150"/>
      <c r="CB56" s="150"/>
      <c r="CC56" s="150"/>
      <c r="CD56" s="150"/>
      <c r="CE56" s="150"/>
      <c r="CF56" s="150"/>
      <c r="CG56" s="150"/>
      <c r="CH56" s="150"/>
      <c r="CI56" s="150"/>
      <c r="CJ56" s="150"/>
      <c r="CK56" s="150"/>
      <c r="CL56" s="150"/>
      <c r="CM56" s="150"/>
      <c r="CN56" s="150"/>
      <c r="CO56" s="150"/>
      <c r="CP56" s="150"/>
      <c r="CQ56" s="150"/>
      <c r="CR56" s="150"/>
      <c r="CS56" s="150"/>
      <c r="DE56" s="150"/>
    </row>
    <row r="57" spans="2:109" ht="30" customHeight="1" x14ac:dyDescent="0.25">
      <c r="B57" s="152"/>
      <c r="C57" s="153"/>
      <c r="D57" s="154"/>
      <c r="E57" s="155"/>
      <c r="F57" s="156"/>
      <c r="G57" s="146"/>
      <c r="H57" s="146"/>
      <c r="I57" s="147" t="str">
        <f t="shared" si="4"/>
        <v/>
      </c>
      <c r="J57" s="157"/>
      <c r="K57" s="148" t="str">
        <f t="shared" si="5"/>
        <v/>
      </c>
      <c r="L57" s="148" t="str">
        <f t="shared" si="6"/>
        <v/>
      </c>
      <c r="M57" s="149" t="str">
        <f t="shared" si="7"/>
        <v/>
      </c>
      <c r="Q57" s="150"/>
      <c r="R57" s="150"/>
      <c r="S57" s="150"/>
      <c r="BG57" s="150"/>
      <c r="BH57" s="150"/>
      <c r="BI57" s="150"/>
      <c r="BJ57" s="150"/>
      <c r="BK57" s="150"/>
      <c r="BL57" s="150"/>
      <c r="BM57" s="150"/>
      <c r="BN57" s="150"/>
      <c r="BO57" s="150"/>
      <c r="BP57" s="150"/>
      <c r="BQ57" s="150"/>
      <c r="BR57" s="150"/>
      <c r="BS57" s="150"/>
      <c r="BT57" s="150"/>
      <c r="BU57" s="150"/>
      <c r="BV57" s="150"/>
      <c r="BW57" s="150"/>
      <c r="BX57" s="150"/>
      <c r="BY57" s="150"/>
      <c r="BZ57" s="150"/>
      <c r="CA57" s="150"/>
      <c r="CB57" s="150"/>
      <c r="CC57" s="150"/>
      <c r="CD57" s="150"/>
      <c r="CE57" s="150"/>
      <c r="CF57" s="150"/>
      <c r="CG57" s="150"/>
      <c r="CH57" s="150"/>
      <c r="CI57" s="150"/>
      <c r="CJ57" s="150"/>
      <c r="CK57" s="150"/>
      <c r="CL57" s="150"/>
      <c r="CM57" s="150"/>
      <c r="CN57" s="150"/>
      <c r="CO57" s="150"/>
      <c r="CP57" s="150"/>
      <c r="CQ57" s="150"/>
      <c r="CR57" s="150"/>
      <c r="CS57" s="150"/>
      <c r="DE57" s="150"/>
    </row>
    <row r="58" spans="2:109" ht="30" customHeight="1" x14ac:dyDescent="0.25">
      <c r="B58" s="152"/>
      <c r="C58" s="153"/>
      <c r="D58" s="154"/>
      <c r="E58" s="155"/>
      <c r="F58" s="156"/>
      <c r="G58" s="146"/>
      <c r="H58" s="146"/>
      <c r="I58" s="147" t="str">
        <f t="shared" si="4"/>
        <v/>
      </c>
      <c r="J58" s="157"/>
      <c r="K58" s="148" t="str">
        <f t="shared" si="5"/>
        <v/>
      </c>
      <c r="L58" s="148" t="str">
        <f t="shared" si="6"/>
        <v/>
      </c>
      <c r="M58" s="149" t="str">
        <f t="shared" si="7"/>
        <v/>
      </c>
      <c r="Q58" s="150"/>
      <c r="R58" s="150"/>
      <c r="S58" s="150"/>
      <c r="BG58" s="150"/>
      <c r="BH58" s="150"/>
      <c r="BI58" s="150"/>
      <c r="BJ58" s="150"/>
      <c r="BK58" s="150"/>
      <c r="BL58" s="150"/>
      <c r="BM58" s="150"/>
      <c r="BN58" s="150"/>
      <c r="BO58" s="150"/>
      <c r="BP58" s="150"/>
      <c r="BQ58" s="150"/>
      <c r="BR58" s="150"/>
      <c r="BS58" s="150"/>
      <c r="BT58" s="150"/>
      <c r="BU58" s="150"/>
      <c r="BV58" s="150"/>
      <c r="BW58" s="150"/>
      <c r="BX58" s="150"/>
      <c r="BY58" s="150"/>
      <c r="BZ58" s="150"/>
      <c r="CA58" s="150"/>
      <c r="CB58" s="150"/>
      <c r="CC58" s="150"/>
      <c r="CD58" s="150"/>
      <c r="CE58" s="150"/>
      <c r="CF58" s="150"/>
      <c r="CG58" s="150"/>
      <c r="CH58" s="150"/>
      <c r="CI58" s="150"/>
      <c r="CJ58" s="150"/>
      <c r="CK58" s="150"/>
      <c r="CL58" s="150"/>
      <c r="CM58" s="150"/>
      <c r="CN58" s="150"/>
      <c r="CO58" s="150"/>
      <c r="CP58" s="150"/>
      <c r="CQ58" s="150"/>
      <c r="CR58" s="150"/>
      <c r="CS58" s="150"/>
      <c r="DE58" s="150"/>
    </row>
    <row r="59" spans="2:109" ht="30" customHeight="1" x14ac:dyDescent="0.25">
      <c r="B59" s="152"/>
      <c r="C59" s="153"/>
      <c r="D59" s="154"/>
      <c r="E59" s="155"/>
      <c r="F59" s="156"/>
      <c r="G59" s="146"/>
      <c r="H59" s="146"/>
      <c r="I59" s="147" t="str">
        <f t="shared" si="4"/>
        <v/>
      </c>
      <c r="J59" s="157"/>
      <c r="K59" s="148" t="str">
        <f t="shared" si="5"/>
        <v/>
      </c>
      <c r="L59" s="148" t="str">
        <f t="shared" si="6"/>
        <v/>
      </c>
      <c r="M59" s="149" t="str">
        <f t="shared" si="7"/>
        <v/>
      </c>
      <c r="Q59" s="150"/>
      <c r="R59" s="150"/>
      <c r="S59" s="150"/>
      <c r="BG59" s="150"/>
      <c r="BH59" s="150"/>
      <c r="BI59" s="150"/>
      <c r="BJ59" s="150"/>
      <c r="BK59" s="150"/>
      <c r="BL59" s="150"/>
      <c r="BM59" s="150"/>
      <c r="BN59" s="150"/>
      <c r="BO59" s="150"/>
      <c r="BP59" s="150"/>
      <c r="BQ59" s="150"/>
      <c r="BR59" s="150"/>
      <c r="BS59" s="150"/>
      <c r="BT59" s="150"/>
      <c r="BU59" s="150"/>
      <c r="BV59" s="150"/>
      <c r="BW59" s="150"/>
      <c r="BX59" s="150"/>
      <c r="BY59" s="150"/>
      <c r="BZ59" s="150"/>
      <c r="CA59" s="150"/>
      <c r="CB59" s="150"/>
      <c r="CC59" s="150"/>
      <c r="CD59" s="150"/>
      <c r="CE59" s="150"/>
      <c r="CF59" s="150"/>
      <c r="CG59" s="150"/>
      <c r="CH59" s="150"/>
      <c r="CI59" s="150"/>
      <c r="CJ59" s="150"/>
      <c r="CK59" s="150"/>
      <c r="CL59" s="150"/>
      <c r="CM59" s="150"/>
      <c r="CN59" s="150"/>
      <c r="CO59" s="150"/>
      <c r="CP59" s="150"/>
      <c r="CQ59" s="150"/>
      <c r="CR59" s="150"/>
      <c r="CS59" s="150"/>
      <c r="DE59" s="150"/>
    </row>
    <row r="60" spans="2:109" ht="30" customHeight="1" x14ac:dyDescent="0.25">
      <c r="B60" s="152"/>
      <c r="C60" s="153"/>
      <c r="D60" s="154"/>
      <c r="E60" s="155"/>
      <c r="F60" s="156"/>
      <c r="G60" s="146"/>
      <c r="H60" s="146"/>
      <c r="I60" s="147" t="str">
        <f t="shared" si="4"/>
        <v/>
      </c>
      <c r="J60" s="157"/>
      <c r="K60" s="148" t="str">
        <f t="shared" si="5"/>
        <v/>
      </c>
      <c r="L60" s="148" t="str">
        <f t="shared" si="6"/>
        <v/>
      </c>
      <c r="M60" s="149" t="str">
        <f t="shared" si="7"/>
        <v/>
      </c>
      <c r="Q60" s="150"/>
      <c r="R60" s="150"/>
      <c r="S60" s="150"/>
      <c r="BG60" s="150"/>
      <c r="BH60" s="150"/>
      <c r="BI60" s="150"/>
      <c r="BJ60" s="150"/>
      <c r="BK60" s="150"/>
      <c r="BL60" s="150"/>
      <c r="BM60" s="150"/>
      <c r="BN60" s="150"/>
      <c r="BO60" s="150"/>
      <c r="BP60" s="150"/>
      <c r="BQ60" s="150"/>
      <c r="BR60" s="150"/>
      <c r="BS60" s="150"/>
      <c r="BT60" s="150"/>
      <c r="BU60" s="150"/>
      <c r="BV60" s="150"/>
      <c r="BW60" s="150"/>
      <c r="BX60" s="150"/>
      <c r="BY60" s="150"/>
      <c r="BZ60" s="150"/>
      <c r="CA60" s="150"/>
      <c r="CB60" s="150"/>
      <c r="CC60" s="150"/>
      <c r="CD60" s="150"/>
      <c r="CE60" s="150"/>
      <c r="CF60" s="150"/>
      <c r="CG60" s="150"/>
      <c r="CH60" s="150"/>
      <c r="CI60" s="150"/>
      <c r="CJ60" s="150"/>
      <c r="CK60" s="150"/>
      <c r="CL60" s="150"/>
      <c r="CM60" s="150"/>
      <c r="CN60" s="150"/>
      <c r="CO60" s="150"/>
      <c r="CP60" s="150"/>
      <c r="CQ60" s="150"/>
      <c r="CR60" s="150"/>
      <c r="CS60" s="150"/>
      <c r="DE60" s="150"/>
    </row>
    <row r="61" spans="2:109" ht="30" customHeight="1" x14ac:dyDescent="0.25">
      <c r="B61" s="152"/>
      <c r="C61" s="153"/>
      <c r="D61" s="154"/>
      <c r="E61" s="155"/>
      <c r="F61" s="156"/>
      <c r="G61" s="146"/>
      <c r="H61" s="146"/>
      <c r="I61" s="147" t="str">
        <f t="shared" si="4"/>
        <v/>
      </c>
      <c r="J61" s="157"/>
      <c r="K61" s="148" t="str">
        <f t="shared" si="5"/>
        <v/>
      </c>
      <c r="L61" s="148" t="str">
        <f t="shared" si="6"/>
        <v/>
      </c>
      <c r="M61" s="149" t="str">
        <f t="shared" si="7"/>
        <v/>
      </c>
      <c r="Q61" s="150"/>
      <c r="R61" s="150"/>
      <c r="S61" s="150"/>
      <c r="BG61" s="150"/>
      <c r="BH61" s="150"/>
      <c r="BI61" s="150"/>
      <c r="BJ61" s="150"/>
      <c r="BK61" s="150"/>
      <c r="BL61" s="150"/>
      <c r="BM61" s="150"/>
      <c r="BN61" s="150"/>
      <c r="BO61" s="150"/>
      <c r="BP61" s="150"/>
      <c r="BQ61" s="150"/>
      <c r="BR61" s="150"/>
      <c r="BS61" s="150"/>
      <c r="BT61" s="150"/>
      <c r="BU61" s="150"/>
      <c r="BV61" s="150"/>
      <c r="BW61" s="150"/>
      <c r="BX61" s="150"/>
      <c r="BY61" s="150"/>
      <c r="BZ61" s="150"/>
      <c r="CA61" s="150"/>
      <c r="CB61" s="150"/>
      <c r="CC61" s="150"/>
      <c r="CD61" s="150"/>
      <c r="CE61" s="150"/>
      <c r="CF61" s="150"/>
      <c r="CG61" s="150"/>
      <c r="CH61" s="150"/>
      <c r="CI61" s="150"/>
      <c r="CJ61" s="150"/>
      <c r="CK61" s="150"/>
      <c r="CL61" s="150"/>
      <c r="CM61" s="150"/>
      <c r="CN61" s="150"/>
      <c r="CO61" s="150"/>
      <c r="CP61" s="150"/>
      <c r="CQ61" s="150"/>
      <c r="CR61" s="150"/>
      <c r="CS61" s="150"/>
      <c r="DE61" s="150"/>
    </row>
    <row r="62" spans="2:109" ht="30" customHeight="1" x14ac:dyDescent="0.25">
      <c r="B62" s="152"/>
      <c r="C62" s="153"/>
      <c r="D62" s="154"/>
      <c r="E62" s="155"/>
      <c r="F62" s="156"/>
      <c r="G62" s="146"/>
      <c r="H62" s="146"/>
      <c r="I62" s="147" t="str">
        <f t="shared" si="4"/>
        <v/>
      </c>
      <c r="J62" s="157"/>
      <c r="K62" s="148" t="str">
        <f t="shared" si="5"/>
        <v/>
      </c>
      <c r="L62" s="148" t="str">
        <f t="shared" si="6"/>
        <v/>
      </c>
      <c r="M62" s="149" t="str">
        <f t="shared" si="7"/>
        <v/>
      </c>
      <c r="Q62" s="150"/>
      <c r="R62" s="150"/>
      <c r="S62" s="150"/>
      <c r="BG62" s="150"/>
      <c r="BH62" s="150"/>
      <c r="BI62" s="150"/>
      <c r="BJ62" s="150"/>
      <c r="BK62" s="150"/>
      <c r="BL62" s="150"/>
      <c r="BM62" s="150"/>
      <c r="BN62" s="150"/>
      <c r="BO62" s="150"/>
      <c r="BP62" s="150"/>
      <c r="BQ62" s="150"/>
      <c r="BR62" s="150"/>
      <c r="BS62" s="150"/>
      <c r="BT62" s="150"/>
      <c r="BU62" s="150"/>
      <c r="BV62" s="150"/>
      <c r="BW62" s="150"/>
      <c r="BX62" s="150"/>
      <c r="BY62" s="150"/>
      <c r="BZ62" s="150"/>
      <c r="CA62" s="150"/>
      <c r="CB62" s="150"/>
      <c r="CC62" s="150"/>
      <c r="CD62" s="150"/>
      <c r="CE62" s="150"/>
      <c r="CF62" s="150"/>
      <c r="CG62" s="150"/>
      <c r="CH62" s="150"/>
      <c r="CI62" s="150"/>
      <c r="CJ62" s="150"/>
      <c r="CK62" s="150"/>
      <c r="CL62" s="150"/>
      <c r="CM62" s="150"/>
      <c r="CN62" s="150"/>
      <c r="CO62" s="150"/>
      <c r="CP62" s="150"/>
      <c r="CQ62" s="150"/>
      <c r="CR62" s="150"/>
      <c r="CS62" s="150"/>
      <c r="DE62" s="150"/>
    </row>
    <row r="63" spans="2:109" ht="30" customHeight="1" x14ac:dyDescent="0.25">
      <c r="B63" s="152"/>
      <c r="C63" s="153"/>
      <c r="D63" s="154"/>
      <c r="E63" s="155"/>
      <c r="F63" s="156"/>
      <c r="G63" s="146"/>
      <c r="H63" s="146"/>
      <c r="I63" s="147" t="str">
        <f t="shared" si="4"/>
        <v/>
      </c>
      <c r="J63" s="157"/>
      <c r="K63" s="148" t="str">
        <f t="shared" si="5"/>
        <v/>
      </c>
      <c r="L63" s="148" t="str">
        <f t="shared" si="6"/>
        <v/>
      </c>
      <c r="M63" s="149" t="str">
        <f t="shared" si="7"/>
        <v/>
      </c>
      <c r="Q63" s="150"/>
      <c r="R63" s="150"/>
      <c r="S63" s="150"/>
      <c r="BG63" s="150"/>
      <c r="BH63" s="150"/>
      <c r="BI63" s="150"/>
      <c r="BJ63" s="150"/>
      <c r="BK63" s="150"/>
      <c r="BL63" s="150"/>
      <c r="BM63" s="150"/>
      <c r="BN63" s="150"/>
      <c r="BO63" s="150"/>
      <c r="BP63" s="150"/>
      <c r="BQ63" s="150"/>
      <c r="BR63" s="150"/>
      <c r="BS63" s="150"/>
      <c r="BT63" s="150"/>
      <c r="BU63" s="150"/>
      <c r="BV63" s="150"/>
      <c r="BW63" s="150"/>
      <c r="BX63" s="150"/>
      <c r="BY63" s="150"/>
      <c r="BZ63" s="150"/>
      <c r="CA63" s="150"/>
      <c r="CB63" s="150"/>
      <c r="CC63" s="150"/>
      <c r="CD63" s="150"/>
      <c r="CE63" s="150"/>
      <c r="CF63" s="150"/>
      <c r="CG63" s="150"/>
      <c r="CH63" s="150"/>
      <c r="CI63" s="150"/>
      <c r="CJ63" s="150"/>
      <c r="CK63" s="150"/>
      <c r="CL63" s="150"/>
      <c r="CM63" s="150"/>
      <c r="CN63" s="150"/>
      <c r="CO63" s="150"/>
      <c r="CP63" s="150"/>
      <c r="CQ63" s="150"/>
      <c r="CR63" s="150"/>
      <c r="CS63" s="150"/>
      <c r="DE63" s="150"/>
    </row>
    <row r="64" spans="2:109" ht="30" customHeight="1" x14ac:dyDescent="0.25">
      <c r="B64" s="152"/>
      <c r="C64" s="153"/>
      <c r="D64" s="154"/>
      <c r="E64" s="155"/>
      <c r="F64" s="156"/>
      <c r="G64" s="146"/>
      <c r="H64" s="146"/>
      <c r="I64" s="147" t="str">
        <f t="shared" si="4"/>
        <v/>
      </c>
      <c r="J64" s="157"/>
      <c r="K64" s="148" t="str">
        <f t="shared" si="5"/>
        <v/>
      </c>
      <c r="L64" s="148" t="str">
        <f t="shared" si="6"/>
        <v/>
      </c>
      <c r="M64" s="149" t="str">
        <f t="shared" si="7"/>
        <v/>
      </c>
      <c r="Q64" s="150"/>
      <c r="R64" s="150"/>
      <c r="S64" s="150"/>
      <c r="BG64" s="150"/>
      <c r="BH64" s="150"/>
      <c r="BI64" s="150"/>
      <c r="BJ64" s="150"/>
      <c r="BK64" s="150"/>
      <c r="BL64" s="150"/>
      <c r="BM64" s="150"/>
      <c r="BN64" s="150"/>
      <c r="BO64" s="150"/>
      <c r="BP64" s="150"/>
      <c r="BQ64" s="150"/>
      <c r="BR64" s="150"/>
      <c r="BS64" s="150"/>
      <c r="BT64" s="150"/>
      <c r="BU64" s="150"/>
      <c r="BV64" s="150"/>
      <c r="BW64" s="150"/>
      <c r="BX64" s="150"/>
      <c r="BY64" s="150"/>
      <c r="BZ64" s="150"/>
      <c r="CA64" s="150"/>
      <c r="CB64" s="150"/>
      <c r="CC64" s="150"/>
      <c r="CD64" s="150"/>
      <c r="CE64" s="150"/>
      <c r="CF64" s="150"/>
      <c r="CG64" s="150"/>
      <c r="CH64" s="150"/>
      <c r="CI64" s="150"/>
      <c r="CJ64" s="150"/>
      <c r="CK64" s="150"/>
      <c r="CL64" s="150"/>
      <c r="CM64" s="150"/>
      <c r="CN64" s="150"/>
      <c r="CO64" s="150"/>
      <c r="CP64" s="150"/>
      <c r="CQ64" s="150"/>
      <c r="CR64" s="150"/>
      <c r="CS64" s="150"/>
      <c r="DE64" s="150"/>
    </row>
    <row r="65" spans="2:109" ht="30" customHeight="1" x14ac:dyDescent="0.25">
      <c r="B65" s="152"/>
      <c r="C65" s="153"/>
      <c r="D65" s="154"/>
      <c r="E65" s="155"/>
      <c r="F65" s="156"/>
      <c r="G65" s="146"/>
      <c r="H65" s="146"/>
      <c r="I65" s="147" t="str">
        <f t="shared" si="4"/>
        <v/>
      </c>
      <c r="J65" s="157"/>
      <c r="K65" s="148" t="str">
        <f t="shared" si="5"/>
        <v/>
      </c>
      <c r="L65" s="148" t="str">
        <f t="shared" si="6"/>
        <v/>
      </c>
      <c r="M65" s="149" t="str">
        <f t="shared" si="7"/>
        <v/>
      </c>
      <c r="Q65" s="150"/>
      <c r="R65" s="150"/>
      <c r="S65" s="150"/>
      <c r="BG65" s="150"/>
      <c r="BH65" s="150"/>
      <c r="BI65" s="150"/>
      <c r="BJ65" s="150"/>
      <c r="BK65" s="150"/>
      <c r="BL65" s="150"/>
      <c r="BM65" s="150"/>
      <c r="BN65" s="150"/>
      <c r="BO65" s="150"/>
      <c r="BP65" s="150"/>
      <c r="BQ65" s="150"/>
      <c r="BR65" s="150"/>
      <c r="BS65" s="150"/>
      <c r="BT65" s="150"/>
      <c r="BU65" s="150"/>
      <c r="BV65" s="150"/>
      <c r="BW65" s="150"/>
      <c r="BX65" s="150"/>
      <c r="BY65" s="150"/>
      <c r="BZ65" s="150"/>
      <c r="CA65" s="150"/>
      <c r="CB65" s="150"/>
      <c r="CC65" s="150"/>
      <c r="CD65" s="150"/>
      <c r="CE65" s="150"/>
      <c r="CF65" s="150"/>
      <c r="CG65" s="150"/>
      <c r="CH65" s="150"/>
      <c r="CI65" s="150"/>
      <c r="CJ65" s="150"/>
      <c r="CK65" s="150"/>
      <c r="CL65" s="150"/>
      <c r="CM65" s="150"/>
      <c r="CN65" s="150"/>
      <c r="CO65" s="150"/>
      <c r="CP65" s="150"/>
      <c r="CQ65" s="150"/>
      <c r="CR65" s="150"/>
      <c r="CS65" s="150"/>
      <c r="DE65" s="150"/>
    </row>
    <row r="66" spans="2:109" ht="30" customHeight="1" x14ac:dyDescent="0.25">
      <c r="B66" s="152"/>
      <c r="C66" s="153"/>
      <c r="D66" s="154"/>
      <c r="E66" s="155"/>
      <c r="F66" s="156"/>
      <c r="G66" s="146"/>
      <c r="H66" s="146"/>
      <c r="I66" s="147" t="str">
        <f t="shared" si="4"/>
        <v/>
      </c>
      <c r="J66" s="157"/>
      <c r="K66" s="148" t="str">
        <f t="shared" si="5"/>
        <v/>
      </c>
      <c r="L66" s="148" t="str">
        <f t="shared" si="6"/>
        <v/>
      </c>
      <c r="M66" s="149" t="str">
        <f t="shared" si="7"/>
        <v/>
      </c>
      <c r="Q66" s="150"/>
      <c r="R66" s="150"/>
      <c r="S66" s="150"/>
      <c r="BG66" s="150"/>
      <c r="BH66" s="150"/>
      <c r="BI66" s="150"/>
      <c r="BJ66" s="150"/>
      <c r="BK66" s="150"/>
      <c r="BL66" s="150"/>
      <c r="BM66" s="150"/>
      <c r="BN66" s="150"/>
      <c r="BO66" s="150"/>
      <c r="BP66" s="150"/>
      <c r="BQ66" s="150"/>
      <c r="BR66" s="150"/>
      <c r="BS66" s="150"/>
      <c r="BT66" s="150"/>
      <c r="BU66" s="150"/>
      <c r="BV66" s="150"/>
      <c r="BW66" s="150"/>
      <c r="BX66" s="150"/>
      <c r="BY66" s="150"/>
      <c r="BZ66" s="150"/>
      <c r="CA66" s="150"/>
      <c r="CB66" s="150"/>
      <c r="CC66" s="150"/>
      <c r="CD66" s="150"/>
      <c r="CE66" s="150"/>
      <c r="CF66" s="150"/>
      <c r="CG66" s="150"/>
      <c r="CH66" s="150"/>
      <c r="CI66" s="150"/>
      <c r="CJ66" s="150"/>
      <c r="CK66" s="150"/>
      <c r="CL66" s="150"/>
      <c r="CM66" s="150"/>
      <c r="CN66" s="150"/>
      <c r="CO66" s="150"/>
      <c r="CP66" s="150"/>
      <c r="CQ66" s="150"/>
      <c r="CR66" s="150"/>
      <c r="CS66" s="150"/>
      <c r="DE66" s="150"/>
    </row>
    <row r="67" spans="2:109" ht="30" customHeight="1" x14ac:dyDescent="0.25">
      <c r="B67" s="152"/>
      <c r="C67" s="153"/>
      <c r="D67" s="154"/>
      <c r="E67" s="155"/>
      <c r="F67" s="156"/>
      <c r="G67" s="146"/>
      <c r="H67" s="146"/>
      <c r="I67" s="147" t="str">
        <f t="shared" si="4"/>
        <v/>
      </c>
      <c r="J67" s="157"/>
      <c r="K67" s="148" t="str">
        <f t="shared" si="5"/>
        <v/>
      </c>
      <c r="L67" s="148" t="str">
        <f t="shared" si="6"/>
        <v/>
      </c>
      <c r="M67" s="149" t="str">
        <f t="shared" si="7"/>
        <v/>
      </c>
      <c r="Q67" s="150"/>
      <c r="R67" s="150"/>
      <c r="S67" s="150"/>
      <c r="BG67" s="150"/>
      <c r="BH67" s="150"/>
      <c r="BI67" s="150"/>
      <c r="BJ67" s="150"/>
      <c r="BK67" s="150"/>
      <c r="BL67" s="150"/>
      <c r="BM67" s="150"/>
      <c r="BN67" s="150"/>
      <c r="BO67" s="150"/>
      <c r="BP67" s="150"/>
      <c r="BQ67" s="150"/>
      <c r="BR67" s="150"/>
      <c r="BS67" s="150"/>
      <c r="BT67" s="150"/>
      <c r="BU67" s="150"/>
      <c r="BV67" s="150"/>
      <c r="BW67" s="150"/>
      <c r="BX67" s="150"/>
      <c r="BY67" s="150"/>
      <c r="BZ67" s="150"/>
      <c r="CA67" s="150"/>
      <c r="CB67" s="150"/>
      <c r="CC67" s="150"/>
      <c r="CD67" s="150"/>
      <c r="CE67" s="150"/>
      <c r="CF67" s="150"/>
      <c r="CG67" s="150"/>
      <c r="CH67" s="150"/>
      <c r="CI67" s="150"/>
      <c r="CJ67" s="150"/>
      <c r="CK67" s="150"/>
      <c r="CL67" s="150"/>
      <c r="CM67" s="150"/>
      <c r="CN67" s="150"/>
      <c r="CO67" s="150"/>
      <c r="CP67" s="150"/>
      <c r="CQ67" s="150"/>
      <c r="CR67" s="150"/>
      <c r="CS67" s="150"/>
      <c r="DE67" s="150"/>
    </row>
    <row r="68" spans="2:109" ht="30" customHeight="1" x14ac:dyDescent="0.25">
      <c r="B68" s="152"/>
      <c r="C68" s="153"/>
      <c r="D68" s="154"/>
      <c r="E68" s="155"/>
      <c r="F68" s="156"/>
      <c r="G68" s="146"/>
      <c r="H68" s="146"/>
      <c r="I68" s="147" t="str">
        <f t="shared" si="4"/>
        <v/>
      </c>
      <c r="J68" s="157"/>
      <c r="K68" s="148" t="str">
        <f t="shared" si="5"/>
        <v/>
      </c>
      <c r="L68" s="148" t="str">
        <f t="shared" si="6"/>
        <v/>
      </c>
      <c r="M68" s="149" t="str">
        <f t="shared" si="7"/>
        <v/>
      </c>
      <c r="Q68" s="150"/>
      <c r="R68" s="150"/>
      <c r="S68" s="150"/>
      <c r="BG68" s="150"/>
      <c r="BH68" s="150"/>
      <c r="BI68" s="150"/>
      <c r="BJ68" s="150"/>
      <c r="BK68" s="150"/>
      <c r="BL68" s="150"/>
      <c r="BM68" s="150"/>
      <c r="BN68" s="150"/>
      <c r="BO68" s="150"/>
      <c r="BP68" s="150"/>
      <c r="BQ68" s="150"/>
      <c r="BR68" s="150"/>
      <c r="BS68" s="150"/>
      <c r="BT68" s="150"/>
      <c r="BU68" s="150"/>
      <c r="BV68" s="150"/>
      <c r="BW68" s="150"/>
      <c r="BX68" s="150"/>
      <c r="BY68" s="150"/>
      <c r="BZ68" s="150"/>
      <c r="CA68" s="150"/>
      <c r="CB68" s="150"/>
      <c r="CC68" s="150"/>
      <c r="CD68" s="150"/>
      <c r="CE68" s="150"/>
      <c r="CF68" s="150"/>
      <c r="CG68" s="150"/>
      <c r="CH68" s="150"/>
      <c r="CI68" s="150"/>
      <c r="CJ68" s="150"/>
      <c r="CK68" s="150"/>
      <c r="CL68" s="150"/>
      <c r="CM68" s="150"/>
      <c r="CN68" s="150"/>
      <c r="CO68" s="150"/>
      <c r="CP68" s="150"/>
      <c r="CQ68" s="150"/>
      <c r="CR68" s="150"/>
      <c r="CS68" s="150"/>
      <c r="DE68" s="150"/>
    </row>
    <row r="69" spans="2:109" ht="30" customHeight="1" x14ac:dyDescent="0.25">
      <c r="B69" s="152"/>
      <c r="C69" s="153"/>
      <c r="D69" s="154"/>
      <c r="E69" s="155"/>
      <c r="F69" s="156"/>
      <c r="G69" s="146"/>
      <c r="H69" s="146"/>
      <c r="I69" s="147" t="str">
        <f t="shared" si="4"/>
        <v/>
      </c>
      <c r="J69" s="157"/>
      <c r="K69" s="148" t="str">
        <f t="shared" si="5"/>
        <v/>
      </c>
      <c r="L69" s="148" t="str">
        <f t="shared" si="6"/>
        <v/>
      </c>
      <c r="M69" s="149" t="str">
        <f t="shared" si="7"/>
        <v/>
      </c>
      <c r="Q69" s="150"/>
      <c r="R69" s="150"/>
      <c r="S69" s="150"/>
      <c r="BG69" s="150"/>
      <c r="BH69" s="150"/>
      <c r="BI69" s="150"/>
      <c r="BJ69" s="150"/>
      <c r="BK69" s="150"/>
      <c r="BL69" s="150"/>
      <c r="BM69" s="150"/>
      <c r="BN69" s="150"/>
      <c r="BO69" s="150"/>
      <c r="BP69" s="150"/>
      <c r="BQ69" s="150"/>
      <c r="BR69" s="150"/>
      <c r="BS69" s="150"/>
      <c r="BT69" s="150"/>
      <c r="BU69" s="150"/>
      <c r="BV69" s="150"/>
      <c r="BW69" s="150"/>
      <c r="BX69" s="150"/>
      <c r="BY69" s="150"/>
      <c r="BZ69" s="150"/>
      <c r="CA69" s="150"/>
      <c r="CB69" s="150"/>
      <c r="CC69" s="150"/>
      <c r="CD69" s="150"/>
      <c r="CE69" s="150"/>
      <c r="CF69" s="150"/>
      <c r="CG69" s="150"/>
      <c r="CH69" s="150"/>
      <c r="CI69" s="150"/>
      <c r="CJ69" s="150"/>
      <c r="CK69" s="150"/>
      <c r="CL69" s="150"/>
      <c r="CM69" s="150"/>
      <c r="CN69" s="150"/>
      <c r="CO69" s="150"/>
      <c r="CP69" s="150"/>
      <c r="CQ69" s="150"/>
      <c r="CR69" s="150"/>
      <c r="CS69" s="150"/>
      <c r="DE69" s="150"/>
    </row>
    <row r="70" spans="2:109" ht="30" customHeight="1" x14ac:dyDescent="0.25">
      <c r="B70" s="152"/>
      <c r="C70" s="153"/>
      <c r="D70" s="154"/>
      <c r="E70" s="155"/>
      <c r="F70" s="156"/>
      <c r="G70" s="146"/>
      <c r="H70" s="146"/>
      <c r="I70" s="147" t="str">
        <f t="shared" ref="I70:I100" si="8">IFERROR(IF(C70&lt;&gt;"",IF(B70="Yes",(F70/176),(F70/$F$1)*22/176),""),"")</f>
        <v/>
      </c>
      <c r="J70" s="157"/>
      <c r="K70" s="148" t="str">
        <f t="shared" ref="K70:K100" si="9">IF(C70&lt;&gt;"",$C$2,"")</f>
        <v/>
      </c>
      <c r="L70" s="148" t="str">
        <f t="shared" ref="L70:L100" si="10">IF(C70&lt;&gt;"",$C$1,"")</f>
        <v/>
      </c>
      <c r="M70" s="149" t="str">
        <f t="shared" ref="M70:M100" si="11">IF(AND(D70&lt;&gt;"",F70&lt;=0),"&lt;=Enter Hours spent",IF(AND(D70="Others",J70=""),"&lt;= Enter Remarks",IF(AND(C70="Agile",E70=""),"&lt;=Enter Sub-Task","")))</f>
        <v/>
      </c>
      <c r="Q70" s="150"/>
      <c r="R70" s="150"/>
      <c r="S70" s="150"/>
      <c r="BG70" s="150"/>
      <c r="BH70" s="150"/>
      <c r="BI70" s="150"/>
      <c r="BJ70" s="150"/>
      <c r="BK70" s="150"/>
      <c r="BL70" s="150"/>
      <c r="BM70" s="150"/>
      <c r="BN70" s="150"/>
      <c r="BO70" s="150"/>
      <c r="BP70" s="150"/>
      <c r="BQ70" s="150"/>
      <c r="BR70" s="150"/>
      <c r="BS70" s="150"/>
      <c r="BT70" s="150"/>
      <c r="BU70" s="150"/>
      <c r="BV70" s="150"/>
      <c r="BW70" s="150"/>
      <c r="BX70" s="150"/>
      <c r="BY70" s="150"/>
      <c r="BZ70" s="150"/>
      <c r="CA70" s="150"/>
      <c r="CB70" s="150"/>
      <c r="CC70" s="150"/>
      <c r="CD70" s="150"/>
      <c r="CE70" s="150"/>
      <c r="CF70" s="150"/>
      <c r="CG70" s="150"/>
      <c r="CH70" s="150"/>
      <c r="CI70" s="150"/>
      <c r="CJ70" s="150"/>
      <c r="CK70" s="150"/>
      <c r="CL70" s="150"/>
      <c r="CM70" s="150"/>
      <c r="CN70" s="150"/>
      <c r="CO70" s="150"/>
      <c r="CP70" s="150"/>
      <c r="CQ70" s="150"/>
      <c r="CR70" s="150"/>
      <c r="CS70" s="150"/>
      <c r="DE70" s="150"/>
    </row>
    <row r="71" spans="2:109" ht="30" customHeight="1" x14ac:dyDescent="0.25">
      <c r="B71" s="152"/>
      <c r="C71" s="153"/>
      <c r="D71" s="154"/>
      <c r="E71" s="155"/>
      <c r="F71" s="156"/>
      <c r="G71" s="146"/>
      <c r="H71" s="146"/>
      <c r="I71" s="147" t="str">
        <f t="shared" si="8"/>
        <v/>
      </c>
      <c r="J71" s="157"/>
      <c r="K71" s="148" t="str">
        <f t="shared" si="9"/>
        <v/>
      </c>
      <c r="L71" s="148" t="str">
        <f t="shared" si="10"/>
        <v/>
      </c>
      <c r="M71" s="149" t="str">
        <f t="shared" si="11"/>
        <v/>
      </c>
      <c r="Q71" s="150"/>
      <c r="R71" s="150"/>
      <c r="S71" s="150"/>
      <c r="BG71" s="150"/>
      <c r="BH71" s="150"/>
      <c r="BI71" s="150"/>
      <c r="BJ71" s="150"/>
      <c r="BK71" s="150"/>
      <c r="BL71" s="150"/>
      <c r="BM71" s="150"/>
      <c r="BN71" s="150"/>
      <c r="BO71" s="150"/>
      <c r="BP71" s="150"/>
      <c r="BQ71" s="150"/>
      <c r="BR71" s="150"/>
      <c r="BS71" s="150"/>
      <c r="BT71" s="150"/>
      <c r="BU71" s="150"/>
      <c r="BV71" s="150"/>
      <c r="BW71" s="150"/>
      <c r="BX71" s="150"/>
      <c r="BY71" s="150"/>
      <c r="BZ71" s="150"/>
      <c r="CA71" s="150"/>
      <c r="CB71" s="150"/>
      <c r="CC71" s="150"/>
      <c r="CD71" s="150"/>
      <c r="CE71" s="150"/>
      <c r="CF71" s="150"/>
      <c r="CG71" s="150"/>
      <c r="CH71" s="150"/>
      <c r="CI71" s="150"/>
      <c r="CJ71" s="150"/>
      <c r="CK71" s="150"/>
      <c r="CL71" s="150"/>
      <c r="CM71" s="150"/>
      <c r="CN71" s="150"/>
      <c r="CO71" s="150"/>
      <c r="CP71" s="150"/>
      <c r="CQ71" s="150"/>
      <c r="CR71" s="150"/>
      <c r="CS71" s="150"/>
      <c r="DE71" s="150"/>
    </row>
    <row r="72" spans="2:109" ht="30" customHeight="1" x14ac:dyDescent="0.25">
      <c r="B72" s="152"/>
      <c r="C72" s="153"/>
      <c r="D72" s="154"/>
      <c r="E72" s="155"/>
      <c r="F72" s="156"/>
      <c r="G72" s="146"/>
      <c r="H72" s="146"/>
      <c r="I72" s="147" t="str">
        <f t="shared" si="8"/>
        <v/>
      </c>
      <c r="J72" s="157"/>
      <c r="K72" s="148" t="str">
        <f t="shared" si="9"/>
        <v/>
      </c>
      <c r="L72" s="148" t="str">
        <f t="shared" si="10"/>
        <v/>
      </c>
      <c r="M72" s="149" t="str">
        <f t="shared" si="11"/>
        <v/>
      </c>
      <c r="Q72" s="150"/>
      <c r="R72" s="150"/>
      <c r="S72" s="150"/>
      <c r="BG72" s="150"/>
      <c r="BH72" s="150"/>
      <c r="BI72" s="150"/>
      <c r="BJ72" s="150"/>
      <c r="BK72" s="150"/>
      <c r="BL72" s="150"/>
      <c r="BM72" s="150"/>
      <c r="BN72" s="150"/>
      <c r="BO72" s="150"/>
      <c r="BP72" s="150"/>
      <c r="BQ72" s="150"/>
      <c r="BR72" s="150"/>
      <c r="BS72" s="150"/>
      <c r="BT72" s="150"/>
      <c r="BU72" s="150"/>
      <c r="BV72" s="150"/>
      <c r="BW72" s="150"/>
      <c r="BX72" s="150"/>
      <c r="BY72" s="150"/>
      <c r="BZ72" s="150"/>
      <c r="CA72" s="150"/>
      <c r="CB72" s="150"/>
      <c r="CC72" s="150"/>
      <c r="CD72" s="150"/>
      <c r="CE72" s="150"/>
      <c r="CF72" s="150"/>
      <c r="CG72" s="150"/>
      <c r="CH72" s="150"/>
      <c r="CI72" s="150"/>
      <c r="CJ72" s="150"/>
      <c r="CK72" s="150"/>
      <c r="CL72" s="150"/>
      <c r="CM72" s="150"/>
      <c r="CN72" s="150"/>
      <c r="CO72" s="150"/>
      <c r="CP72" s="150"/>
      <c r="CQ72" s="150"/>
      <c r="CR72" s="150"/>
      <c r="CS72" s="150"/>
      <c r="DE72" s="150"/>
    </row>
    <row r="73" spans="2:109" ht="30" customHeight="1" x14ac:dyDescent="0.25">
      <c r="B73" s="152"/>
      <c r="C73" s="153"/>
      <c r="D73" s="154"/>
      <c r="E73" s="155"/>
      <c r="F73" s="156"/>
      <c r="G73" s="146"/>
      <c r="H73" s="146"/>
      <c r="I73" s="147" t="str">
        <f t="shared" si="8"/>
        <v/>
      </c>
      <c r="J73" s="157"/>
      <c r="K73" s="148" t="str">
        <f t="shared" si="9"/>
        <v/>
      </c>
      <c r="L73" s="148" t="str">
        <f t="shared" si="10"/>
        <v/>
      </c>
      <c r="M73" s="149" t="str">
        <f t="shared" si="11"/>
        <v/>
      </c>
      <c r="Q73" s="150"/>
      <c r="R73" s="150"/>
      <c r="S73" s="150"/>
      <c r="BG73" s="150"/>
      <c r="BH73" s="150"/>
      <c r="BI73" s="150"/>
      <c r="BJ73" s="150"/>
      <c r="BK73" s="150"/>
      <c r="BL73" s="150"/>
      <c r="BM73" s="150"/>
      <c r="BN73" s="150"/>
      <c r="BO73" s="150"/>
      <c r="BP73" s="150"/>
      <c r="BQ73" s="150"/>
      <c r="BR73" s="150"/>
      <c r="BS73" s="150"/>
      <c r="BT73" s="150"/>
      <c r="BU73" s="150"/>
      <c r="BV73" s="150"/>
      <c r="BW73" s="150"/>
      <c r="BX73" s="150"/>
      <c r="BY73" s="150"/>
      <c r="BZ73" s="150"/>
      <c r="CA73" s="150"/>
      <c r="CB73" s="150"/>
      <c r="CC73" s="150"/>
      <c r="CD73" s="150"/>
      <c r="CE73" s="150"/>
      <c r="CF73" s="150"/>
      <c r="CG73" s="150"/>
      <c r="CH73" s="150"/>
      <c r="CI73" s="150"/>
      <c r="CJ73" s="150"/>
      <c r="CK73" s="150"/>
      <c r="CL73" s="150"/>
      <c r="CM73" s="150"/>
      <c r="CN73" s="150"/>
      <c r="CO73" s="150"/>
      <c r="CP73" s="150"/>
      <c r="CQ73" s="150"/>
      <c r="CR73" s="150"/>
      <c r="CS73" s="150"/>
      <c r="DE73" s="150"/>
    </row>
    <row r="74" spans="2:109" ht="30" customHeight="1" x14ac:dyDescent="0.25">
      <c r="B74" s="152"/>
      <c r="C74" s="153"/>
      <c r="D74" s="154"/>
      <c r="E74" s="155"/>
      <c r="F74" s="156"/>
      <c r="G74" s="146"/>
      <c r="H74" s="146"/>
      <c r="I74" s="147" t="str">
        <f t="shared" si="8"/>
        <v/>
      </c>
      <c r="J74" s="157"/>
      <c r="K74" s="148" t="str">
        <f t="shared" si="9"/>
        <v/>
      </c>
      <c r="L74" s="148" t="str">
        <f t="shared" si="10"/>
        <v/>
      </c>
      <c r="M74" s="149" t="str">
        <f t="shared" si="11"/>
        <v/>
      </c>
      <c r="Q74" s="150"/>
      <c r="R74" s="150"/>
      <c r="S74" s="150"/>
      <c r="BG74" s="150"/>
      <c r="BH74" s="150"/>
      <c r="BI74" s="150"/>
      <c r="BJ74" s="150"/>
      <c r="BK74" s="150"/>
      <c r="BL74" s="150"/>
      <c r="BM74" s="150"/>
      <c r="BN74" s="150"/>
      <c r="BO74" s="150"/>
      <c r="BP74" s="150"/>
      <c r="BQ74" s="150"/>
      <c r="BR74" s="150"/>
      <c r="BS74" s="150"/>
      <c r="BT74" s="150"/>
      <c r="BU74" s="150"/>
      <c r="BV74" s="150"/>
      <c r="BW74" s="150"/>
      <c r="BX74" s="150"/>
      <c r="BY74" s="150"/>
      <c r="BZ74" s="150"/>
      <c r="CA74" s="150"/>
      <c r="CB74" s="150"/>
      <c r="CC74" s="150"/>
      <c r="CD74" s="150"/>
      <c r="CE74" s="150"/>
      <c r="CF74" s="150"/>
      <c r="CG74" s="150"/>
      <c r="CH74" s="150"/>
      <c r="CI74" s="150"/>
      <c r="CJ74" s="150"/>
      <c r="CK74" s="150"/>
      <c r="CL74" s="150"/>
      <c r="CM74" s="150"/>
      <c r="CN74" s="150"/>
      <c r="CO74" s="150"/>
      <c r="CP74" s="150"/>
      <c r="CQ74" s="150"/>
      <c r="CR74" s="150"/>
      <c r="CS74" s="150"/>
      <c r="DE74" s="150"/>
    </row>
    <row r="75" spans="2:109" ht="30" customHeight="1" x14ac:dyDescent="0.25">
      <c r="B75" s="152"/>
      <c r="C75" s="153"/>
      <c r="D75" s="154"/>
      <c r="E75" s="155"/>
      <c r="F75" s="156"/>
      <c r="G75" s="146"/>
      <c r="H75" s="146"/>
      <c r="I75" s="147" t="str">
        <f t="shared" si="8"/>
        <v/>
      </c>
      <c r="J75" s="157"/>
      <c r="K75" s="148" t="str">
        <f t="shared" si="9"/>
        <v/>
      </c>
      <c r="L75" s="148" t="str">
        <f t="shared" si="10"/>
        <v/>
      </c>
      <c r="M75" s="149" t="str">
        <f t="shared" si="11"/>
        <v/>
      </c>
      <c r="Q75" s="150"/>
      <c r="R75" s="150"/>
      <c r="S75" s="150"/>
      <c r="BG75" s="150"/>
      <c r="BH75" s="150"/>
      <c r="BI75" s="150"/>
      <c r="BJ75" s="150"/>
      <c r="BK75" s="150"/>
      <c r="BL75" s="150"/>
      <c r="BM75" s="150"/>
      <c r="BN75" s="150"/>
      <c r="BO75" s="150"/>
      <c r="BP75" s="150"/>
      <c r="BQ75" s="150"/>
      <c r="BR75" s="150"/>
      <c r="BS75" s="150"/>
      <c r="BT75" s="150"/>
      <c r="BU75" s="150"/>
      <c r="BV75" s="150"/>
      <c r="BW75" s="150"/>
      <c r="BX75" s="150"/>
      <c r="BY75" s="150"/>
      <c r="BZ75" s="150"/>
      <c r="CA75" s="150"/>
      <c r="CB75" s="150"/>
      <c r="CC75" s="150"/>
      <c r="CD75" s="150"/>
      <c r="CE75" s="150"/>
      <c r="CF75" s="150"/>
      <c r="CG75" s="150"/>
      <c r="CH75" s="150"/>
      <c r="CI75" s="150"/>
      <c r="CJ75" s="150"/>
      <c r="CK75" s="150"/>
      <c r="CL75" s="150"/>
      <c r="CM75" s="150"/>
      <c r="CN75" s="150"/>
      <c r="CO75" s="150"/>
      <c r="CP75" s="150"/>
      <c r="CQ75" s="150"/>
      <c r="CR75" s="150"/>
      <c r="CS75" s="150"/>
      <c r="DE75" s="150"/>
    </row>
    <row r="76" spans="2:109" ht="30" customHeight="1" x14ac:dyDescent="0.25">
      <c r="B76" s="152"/>
      <c r="C76" s="153"/>
      <c r="D76" s="154"/>
      <c r="E76" s="155"/>
      <c r="F76" s="156"/>
      <c r="G76" s="146"/>
      <c r="H76" s="146"/>
      <c r="I76" s="147" t="str">
        <f t="shared" si="8"/>
        <v/>
      </c>
      <c r="J76" s="157"/>
      <c r="K76" s="148" t="str">
        <f t="shared" si="9"/>
        <v/>
      </c>
      <c r="L76" s="148" t="str">
        <f t="shared" si="10"/>
        <v/>
      </c>
      <c r="M76" s="149" t="str">
        <f t="shared" si="11"/>
        <v/>
      </c>
      <c r="Q76" s="150"/>
      <c r="R76" s="150"/>
      <c r="S76" s="150"/>
      <c r="BG76" s="150"/>
      <c r="BH76" s="150"/>
      <c r="BI76" s="150"/>
      <c r="BJ76" s="150"/>
      <c r="BK76" s="150"/>
      <c r="BL76" s="150"/>
      <c r="BM76" s="150"/>
      <c r="BN76" s="150"/>
      <c r="BO76" s="150"/>
      <c r="BP76" s="150"/>
      <c r="BQ76" s="150"/>
      <c r="BR76" s="150"/>
      <c r="BS76" s="150"/>
      <c r="BT76" s="150"/>
      <c r="BU76" s="150"/>
      <c r="BV76" s="150"/>
      <c r="BW76" s="150"/>
      <c r="BX76" s="150"/>
      <c r="BY76" s="150"/>
      <c r="BZ76" s="150"/>
      <c r="CA76" s="150"/>
      <c r="CB76" s="150"/>
      <c r="CC76" s="150"/>
      <c r="CD76" s="150"/>
      <c r="CE76" s="150"/>
      <c r="CF76" s="150"/>
      <c r="CG76" s="150"/>
      <c r="CH76" s="150"/>
      <c r="CI76" s="150"/>
      <c r="CJ76" s="150"/>
      <c r="CK76" s="150"/>
      <c r="CL76" s="150"/>
      <c r="CM76" s="150"/>
      <c r="CN76" s="150"/>
      <c r="CO76" s="150"/>
      <c r="CP76" s="150"/>
      <c r="CQ76" s="150"/>
      <c r="CR76" s="150"/>
      <c r="CS76" s="150"/>
      <c r="DE76" s="150"/>
    </row>
    <row r="77" spans="2:109" ht="30" customHeight="1" x14ac:dyDescent="0.25">
      <c r="B77" s="152"/>
      <c r="C77" s="153"/>
      <c r="D77" s="154"/>
      <c r="E77" s="155"/>
      <c r="F77" s="156"/>
      <c r="G77" s="146"/>
      <c r="H77" s="146"/>
      <c r="I77" s="147" t="str">
        <f t="shared" si="8"/>
        <v/>
      </c>
      <c r="J77" s="157"/>
      <c r="K77" s="148" t="str">
        <f t="shared" si="9"/>
        <v/>
      </c>
      <c r="L77" s="148" t="str">
        <f t="shared" si="10"/>
        <v/>
      </c>
      <c r="M77" s="149" t="str">
        <f t="shared" si="11"/>
        <v/>
      </c>
      <c r="Q77" s="150"/>
      <c r="R77" s="150"/>
      <c r="S77" s="150"/>
      <c r="BG77" s="150"/>
      <c r="BH77" s="150"/>
      <c r="BI77" s="150"/>
      <c r="BJ77" s="150"/>
      <c r="BK77" s="150"/>
      <c r="BL77" s="150"/>
      <c r="BM77" s="150"/>
      <c r="BN77" s="150"/>
      <c r="BO77" s="150"/>
      <c r="BP77" s="150"/>
      <c r="BQ77" s="150"/>
      <c r="BR77" s="150"/>
      <c r="BS77" s="150"/>
      <c r="BT77" s="150"/>
      <c r="BU77" s="150"/>
      <c r="BV77" s="150"/>
      <c r="BW77" s="150"/>
      <c r="BX77" s="150"/>
      <c r="BY77" s="150"/>
      <c r="BZ77" s="150"/>
      <c r="CA77" s="150"/>
      <c r="CB77" s="150"/>
      <c r="CC77" s="150"/>
      <c r="CD77" s="150"/>
      <c r="CE77" s="150"/>
      <c r="CF77" s="150"/>
      <c r="CG77" s="150"/>
      <c r="CH77" s="150"/>
      <c r="CI77" s="150"/>
      <c r="CJ77" s="150"/>
      <c r="CK77" s="150"/>
      <c r="CL77" s="150"/>
      <c r="CM77" s="150"/>
      <c r="CN77" s="150"/>
      <c r="CO77" s="150"/>
      <c r="CP77" s="150"/>
      <c r="CQ77" s="150"/>
      <c r="CR77" s="150"/>
      <c r="CS77" s="150"/>
      <c r="DE77" s="150"/>
    </row>
    <row r="78" spans="2:109" ht="30" customHeight="1" x14ac:dyDescent="0.25">
      <c r="B78" s="152"/>
      <c r="C78" s="153"/>
      <c r="D78" s="154"/>
      <c r="E78" s="155"/>
      <c r="F78" s="156"/>
      <c r="G78" s="146"/>
      <c r="H78" s="146"/>
      <c r="I78" s="147" t="str">
        <f t="shared" si="8"/>
        <v/>
      </c>
      <c r="J78" s="157"/>
      <c r="K78" s="148" t="str">
        <f t="shared" si="9"/>
        <v/>
      </c>
      <c r="L78" s="148" t="str">
        <f t="shared" si="10"/>
        <v/>
      </c>
      <c r="M78" s="149" t="str">
        <f t="shared" si="11"/>
        <v/>
      </c>
      <c r="Q78" s="150"/>
      <c r="R78" s="150"/>
      <c r="S78" s="150"/>
      <c r="BG78" s="150"/>
      <c r="BH78" s="150"/>
      <c r="BI78" s="150"/>
      <c r="BJ78" s="150"/>
      <c r="BK78" s="150"/>
      <c r="BL78" s="150"/>
      <c r="BM78" s="150"/>
      <c r="BN78" s="150"/>
      <c r="BO78" s="150"/>
      <c r="BP78" s="150"/>
      <c r="BQ78" s="150"/>
      <c r="BR78" s="150"/>
      <c r="BS78" s="150"/>
      <c r="BT78" s="150"/>
      <c r="BU78" s="150"/>
      <c r="BV78" s="150"/>
      <c r="BW78" s="150"/>
      <c r="BX78" s="150"/>
      <c r="BY78" s="150"/>
      <c r="BZ78" s="150"/>
      <c r="CA78" s="150"/>
      <c r="CB78" s="150"/>
      <c r="CC78" s="150"/>
      <c r="CD78" s="150"/>
      <c r="CE78" s="150"/>
      <c r="CF78" s="150"/>
      <c r="CG78" s="150"/>
      <c r="CH78" s="150"/>
      <c r="CI78" s="150"/>
      <c r="CJ78" s="150"/>
      <c r="CK78" s="150"/>
      <c r="CL78" s="150"/>
      <c r="CM78" s="150"/>
      <c r="CN78" s="150"/>
      <c r="CO78" s="150"/>
      <c r="CP78" s="150"/>
      <c r="CQ78" s="150"/>
      <c r="CR78" s="150"/>
      <c r="CS78" s="150"/>
      <c r="DE78" s="150"/>
    </row>
    <row r="79" spans="2:109" ht="30" customHeight="1" x14ac:dyDescent="0.25">
      <c r="B79" s="152"/>
      <c r="C79" s="153"/>
      <c r="D79" s="154"/>
      <c r="E79" s="155"/>
      <c r="F79" s="156"/>
      <c r="G79" s="146"/>
      <c r="H79" s="146"/>
      <c r="I79" s="147" t="str">
        <f t="shared" si="8"/>
        <v/>
      </c>
      <c r="J79" s="157"/>
      <c r="K79" s="148" t="str">
        <f t="shared" si="9"/>
        <v/>
      </c>
      <c r="L79" s="148" t="str">
        <f t="shared" si="10"/>
        <v/>
      </c>
      <c r="M79" s="149" t="str">
        <f t="shared" si="11"/>
        <v/>
      </c>
      <c r="Q79" s="150"/>
      <c r="R79" s="150"/>
      <c r="S79" s="150"/>
      <c r="BG79" s="150"/>
      <c r="BH79" s="150"/>
      <c r="BI79" s="150"/>
      <c r="BJ79" s="150"/>
      <c r="BK79" s="150"/>
      <c r="BL79" s="150"/>
      <c r="BM79" s="150"/>
      <c r="BN79" s="150"/>
      <c r="BO79" s="150"/>
      <c r="BP79" s="150"/>
      <c r="BQ79" s="150"/>
      <c r="BR79" s="150"/>
      <c r="BS79" s="150"/>
      <c r="BT79" s="150"/>
      <c r="BU79" s="150"/>
      <c r="BV79" s="150"/>
      <c r="BW79" s="150"/>
      <c r="BX79" s="150"/>
      <c r="BY79" s="150"/>
      <c r="BZ79" s="150"/>
      <c r="CA79" s="150"/>
      <c r="CB79" s="150"/>
      <c r="CC79" s="150"/>
      <c r="CD79" s="150"/>
      <c r="CE79" s="150"/>
      <c r="CF79" s="150"/>
      <c r="CG79" s="150"/>
      <c r="CH79" s="150"/>
      <c r="CI79" s="150"/>
      <c r="CJ79" s="150"/>
      <c r="CK79" s="150"/>
      <c r="CL79" s="150"/>
      <c r="CM79" s="150"/>
      <c r="CN79" s="150"/>
      <c r="CO79" s="150"/>
      <c r="CP79" s="150"/>
      <c r="CQ79" s="150"/>
      <c r="CR79" s="150"/>
      <c r="CS79" s="150"/>
      <c r="DE79" s="150"/>
    </row>
    <row r="80" spans="2:109" ht="30" customHeight="1" x14ac:dyDescent="0.25">
      <c r="B80" s="152"/>
      <c r="C80" s="153"/>
      <c r="D80" s="154"/>
      <c r="E80" s="155"/>
      <c r="F80" s="156"/>
      <c r="G80" s="146"/>
      <c r="H80" s="146"/>
      <c r="I80" s="147" t="str">
        <f t="shared" si="8"/>
        <v/>
      </c>
      <c r="J80" s="157"/>
      <c r="K80" s="148" t="str">
        <f t="shared" si="9"/>
        <v/>
      </c>
      <c r="L80" s="148" t="str">
        <f t="shared" si="10"/>
        <v/>
      </c>
      <c r="M80" s="149" t="str">
        <f t="shared" si="11"/>
        <v/>
      </c>
      <c r="Q80" s="150"/>
      <c r="R80" s="150"/>
      <c r="S80" s="150"/>
      <c r="BG80" s="150"/>
      <c r="BH80" s="150"/>
      <c r="BI80" s="150"/>
      <c r="BJ80" s="150"/>
      <c r="BK80" s="150"/>
      <c r="BL80" s="150"/>
      <c r="BM80" s="150"/>
      <c r="BN80" s="150"/>
      <c r="BO80" s="150"/>
      <c r="BP80" s="150"/>
      <c r="BQ80" s="150"/>
      <c r="BR80" s="150"/>
      <c r="BS80" s="150"/>
      <c r="BT80" s="150"/>
      <c r="BU80" s="150"/>
      <c r="BV80" s="150"/>
      <c r="BW80" s="150"/>
      <c r="BX80" s="150"/>
      <c r="BY80" s="150"/>
      <c r="BZ80" s="150"/>
      <c r="CA80" s="150"/>
      <c r="CB80" s="150"/>
      <c r="CC80" s="150"/>
      <c r="CD80" s="150"/>
      <c r="CE80" s="150"/>
      <c r="CF80" s="150"/>
      <c r="CG80" s="150"/>
      <c r="CH80" s="150"/>
      <c r="CI80" s="150"/>
      <c r="CJ80" s="150"/>
      <c r="CK80" s="150"/>
      <c r="CL80" s="150"/>
      <c r="CM80" s="150"/>
      <c r="CN80" s="150"/>
      <c r="CO80" s="150"/>
      <c r="CP80" s="150"/>
      <c r="CQ80" s="150"/>
      <c r="CR80" s="150"/>
      <c r="CS80" s="150"/>
      <c r="DE80" s="150"/>
    </row>
    <row r="81" spans="2:109" ht="30" customHeight="1" x14ac:dyDescent="0.25">
      <c r="B81" s="152"/>
      <c r="C81" s="153"/>
      <c r="D81" s="154"/>
      <c r="E81" s="155"/>
      <c r="F81" s="156"/>
      <c r="G81" s="146"/>
      <c r="H81" s="146"/>
      <c r="I81" s="147" t="str">
        <f t="shared" si="8"/>
        <v/>
      </c>
      <c r="J81" s="157"/>
      <c r="K81" s="148" t="str">
        <f t="shared" si="9"/>
        <v/>
      </c>
      <c r="L81" s="148" t="str">
        <f t="shared" si="10"/>
        <v/>
      </c>
      <c r="M81" s="149" t="str">
        <f t="shared" si="11"/>
        <v/>
      </c>
      <c r="Q81" s="150"/>
      <c r="R81" s="150"/>
      <c r="S81" s="150"/>
      <c r="BG81" s="150"/>
      <c r="BH81" s="150"/>
      <c r="BI81" s="150"/>
      <c r="BJ81" s="150"/>
      <c r="BK81" s="150"/>
      <c r="BL81" s="150"/>
      <c r="BM81" s="150"/>
      <c r="BN81" s="150"/>
      <c r="BO81" s="150"/>
      <c r="BP81" s="150"/>
      <c r="BQ81" s="150"/>
      <c r="BR81" s="150"/>
      <c r="BS81" s="150"/>
      <c r="BT81" s="150"/>
      <c r="BU81" s="150"/>
      <c r="BV81" s="150"/>
      <c r="BW81" s="150"/>
      <c r="BX81" s="150"/>
      <c r="BY81" s="150"/>
      <c r="BZ81" s="150"/>
      <c r="CA81" s="150"/>
      <c r="CB81" s="150"/>
      <c r="CC81" s="150"/>
      <c r="CD81" s="150"/>
      <c r="CE81" s="150"/>
      <c r="CF81" s="150"/>
      <c r="CG81" s="150"/>
      <c r="CH81" s="150"/>
      <c r="CI81" s="150"/>
      <c r="CJ81" s="150"/>
      <c r="CK81" s="150"/>
      <c r="CL81" s="150"/>
      <c r="CM81" s="150"/>
      <c r="CN81" s="150"/>
      <c r="CO81" s="150"/>
      <c r="CP81" s="150"/>
      <c r="CQ81" s="150"/>
      <c r="CR81" s="150"/>
      <c r="CS81" s="150"/>
      <c r="DE81" s="150"/>
    </row>
    <row r="82" spans="2:109" ht="30" customHeight="1" x14ac:dyDescent="0.25">
      <c r="B82" s="152"/>
      <c r="C82" s="153"/>
      <c r="D82" s="154"/>
      <c r="E82" s="155"/>
      <c r="F82" s="156"/>
      <c r="G82" s="146"/>
      <c r="H82" s="146"/>
      <c r="I82" s="147" t="str">
        <f t="shared" si="8"/>
        <v/>
      </c>
      <c r="J82" s="157"/>
      <c r="K82" s="148" t="str">
        <f t="shared" si="9"/>
        <v/>
      </c>
      <c r="L82" s="148" t="str">
        <f t="shared" si="10"/>
        <v/>
      </c>
      <c r="M82" s="149" t="str">
        <f t="shared" si="11"/>
        <v/>
      </c>
      <c r="Q82" s="150"/>
      <c r="R82" s="150"/>
      <c r="S82" s="150"/>
      <c r="BG82" s="150"/>
      <c r="BH82" s="150"/>
      <c r="BI82" s="150"/>
      <c r="BJ82" s="150"/>
      <c r="BK82" s="150"/>
      <c r="BL82" s="150"/>
      <c r="BM82" s="150"/>
      <c r="BN82" s="150"/>
      <c r="BO82" s="150"/>
      <c r="BP82" s="150"/>
      <c r="BQ82" s="150"/>
      <c r="BR82" s="150"/>
      <c r="BS82" s="150"/>
      <c r="BT82" s="150"/>
      <c r="BU82" s="150"/>
      <c r="BV82" s="150"/>
      <c r="BW82" s="150"/>
      <c r="BX82" s="150"/>
      <c r="BY82" s="150"/>
      <c r="BZ82" s="150"/>
      <c r="CA82" s="150"/>
      <c r="CB82" s="150"/>
      <c r="CC82" s="150"/>
      <c r="CD82" s="150"/>
      <c r="CE82" s="150"/>
      <c r="CF82" s="150"/>
      <c r="CG82" s="150"/>
      <c r="CH82" s="150"/>
      <c r="CI82" s="150"/>
      <c r="CJ82" s="150"/>
      <c r="CK82" s="150"/>
      <c r="CL82" s="150"/>
      <c r="CM82" s="150"/>
      <c r="CN82" s="150"/>
      <c r="CO82" s="150"/>
      <c r="CP82" s="150"/>
      <c r="CQ82" s="150"/>
      <c r="CR82" s="150"/>
      <c r="CS82" s="150"/>
      <c r="DE82" s="150"/>
    </row>
    <row r="83" spans="2:109" ht="30" customHeight="1" x14ac:dyDescent="0.25">
      <c r="B83" s="152"/>
      <c r="C83" s="153"/>
      <c r="D83" s="154"/>
      <c r="E83" s="155"/>
      <c r="F83" s="156"/>
      <c r="G83" s="146"/>
      <c r="H83" s="146"/>
      <c r="I83" s="147" t="str">
        <f t="shared" si="8"/>
        <v/>
      </c>
      <c r="J83" s="157"/>
      <c r="K83" s="148" t="str">
        <f t="shared" si="9"/>
        <v/>
      </c>
      <c r="L83" s="148" t="str">
        <f t="shared" si="10"/>
        <v/>
      </c>
      <c r="M83" s="149" t="str">
        <f t="shared" si="11"/>
        <v/>
      </c>
      <c r="Q83" s="150"/>
      <c r="R83" s="150"/>
      <c r="S83" s="150"/>
      <c r="BG83" s="150"/>
      <c r="BH83" s="150"/>
      <c r="BI83" s="150"/>
      <c r="BJ83" s="150"/>
      <c r="BK83" s="150"/>
      <c r="BL83" s="150"/>
      <c r="BM83" s="150"/>
      <c r="BN83" s="150"/>
      <c r="BO83" s="150"/>
      <c r="BP83" s="150"/>
      <c r="BQ83" s="150"/>
      <c r="BR83" s="150"/>
      <c r="BS83" s="150"/>
      <c r="BT83" s="150"/>
      <c r="BU83" s="150"/>
      <c r="BV83" s="150"/>
      <c r="BW83" s="150"/>
      <c r="BX83" s="150"/>
      <c r="BY83" s="150"/>
      <c r="BZ83" s="150"/>
      <c r="CA83" s="150"/>
      <c r="CB83" s="150"/>
      <c r="CC83" s="150"/>
      <c r="CD83" s="150"/>
      <c r="CE83" s="150"/>
      <c r="CF83" s="150"/>
      <c r="CG83" s="150"/>
      <c r="CH83" s="150"/>
      <c r="CI83" s="150"/>
      <c r="CJ83" s="150"/>
      <c r="CK83" s="150"/>
      <c r="CL83" s="150"/>
      <c r="CM83" s="150"/>
      <c r="CN83" s="150"/>
      <c r="CO83" s="150"/>
      <c r="CP83" s="150"/>
      <c r="CQ83" s="150"/>
      <c r="CR83" s="150"/>
      <c r="CS83" s="150"/>
      <c r="DE83" s="150"/>
    </row>
    <row r="84" spans="2:109" ht="30" customHeight="1" x14ac:dyDescent="0.25">
      <c r="B84" s="152"/>
      <c r="C84" s="153"/>
      <c r="D84" s="154"/>
      <c r="E84" s="155"/>
      <c r="F84" s="156"/>
      <c r="G84" s="146"/>
      <c r="H84" s="146"/>
      <c r="I84" s="147" t="str">
        <f t="shared" si="8"/>
        <v/>
      </c>
      <c r="J84" s="157"/>
      <c r="K84" s="148" t="str">
        <f t="shared" si="9"/>
        <v/>
      </c>
      <c r="L84" s="148" t="str">
        <f t="shared" si="10"/>
        <v/>
      </c>
      <c r="M84" s="149" t="str">
        <f t="shared" si="11"/>
        <v/>
      </c>
      <c r="Q84" s="150"/>
      <c r="R84" s="150"/>
      <c r="S84" s="150"/>
      <c r="BG84" s="150"/>
      <c r="BH84" s="150"/>
      <c r="BI84" s="150"/>
      <c r="BJ84" s="150"/>
      <c r="BK84" s="150"/>
      <c r="BL84" s="150"/>
      <c r="BM84" s="150"/>
      <c r="BN84" s="150"/>
      <c r="BO84" s="150"/>
      <c r="BP84" s="150"/>
      <c r="BQ84" s="150"/>
      <c r="BR84" s="150"/>
      <c r="BS84" s="150"/>
      <c r="BT84" s="150"/>
      <c r="BU84" s="150"/>
      <c r="BV84" s="150"/>
      <c r="BW84" s="150"/>
      <c r="BX84" s="150"/>
      <c r="BY84" s="150"/>
      <c r="BZ84" s="150"/>
      <c r="CA84" s="150"/>
      <c r="CB84" s="150"/>
      <c r="CC84" s="150"/>
      <c r="CD84" s="150"/>
      <c r="CE84" s="150"/>
      <c r="CF84" s="150"/>
      <c r="CG84" s="150"/>
      <c r="CH84" s="150"/>
      <c r="CI84" s="150"/>
      <c r="CJ84" s="150"/>
      <c r="CK84" s="150"/>
      <c r="CL84" s="150"/>
      <c r="CM84" s="150"/>
      <c r="CN84" s="150"/>
      <c r="CO84" s="150"/>
      <c r="CP84" s="150"/>
      <c r="CQ84" s="150"/>
      <c r="CR84" s="150"/>
      <c r="CS84" s="150"/>
      <c r="DE84" s="150"/>
    </row>
    <row r="85" spans="2:109" ht="30" customHeight="1" x14ac:dyDescent="0.25">
      <c r="B85" s="152"/>
      <c r="C85" s="153"/>
      <c r="D85" s="154"/>
      <c r="E85" s="155"/>
      <c r="F85" s="156"/>
      <c r="G85" s="146"/>
      <c r="H85" s="146"/>
      <c r="I85" s="147" t="str">
        <f t="shared" si="8"/>
        <v/>
      </c>
      <c r="J85" s="157"/>
      <c r="K85" s="148" t="str">
        <f t="shared" si="9"/>
        <v/>
      </c>
      <c r="L85" s="148" t="str">
        <f t="shared" si="10"/>
        <v/>
      </c>
      <c r="M85" s="149" t="str">
        <f t="shared" si="11"/>
        <v/>
      </c>
      <c r="Q85" s="150"/>
      <c r="R85" s="150"/>
      <c r="S85" s="150"/>
      <c r="BG85" s="150"/>
      <c r="BH85" s="150"/>
      <c r="BI85" s="150"/>
      <c r="BJ85" s="150"/>
      <c r="BK85" s="150"/>
      <c r="BL85" s="150"/>
      <c r="BM85" s="150"/>
      <c r="BN85" s="150"/>
      <c r="BO85" s="150"/>
      <c r="BP85" s="150"/>
      <c r="BQ85" s="150"/>
      <c r="BR85" s="150"/>
      <c r="BS85" s="150"/>
      <c r="BT85" s="150"/>
      <c r="BU85" s="150"/>
      <c r="BV85" s="150"/>
      <c r="BW85" s="150"/>
      <c r="BX85" s="150"/>
      <c r="BY85" s="150"/>
      <c r="BZ85" s="150"/>
      <c r="CA85" s="150"/>
      <c r="CB85" s="150"/>
      <c r="CC85" s="150"/>
      <c r="CD85" s="150"/>
      <c r="CE85" s="150"/>
      <c r="CF85" s="150"/>
      <c r="CG85" s="150"/>
      <c r="CH85" s="150"/>
      <c r="CI85" s="150"/>
      <c r="CJ85" s="150"/>
      <c r="CK85" s="150"/>
      <c r="CL85" s="150"/>
      <c r="CM85" s="150"/>
      <c r="CN85" s="150"/>
      <c r="CO85" s="150"/>
      <c r="CP85" s="150"/>
      <c r="CQ85" s="150"/>
      <c r="CR85" s="150"/>
      <c r="CS85" s="150"/>
      <c r="DE85" s="150"/>
    </row>
    <row r="86" spans="2:109" ht="30" customHeight="1" x14ac:dyDescent="0.25">
      <c r="B86" s="152"/>
      <c r="C86" s="153"/>
      <c r="D86" s="154"/>
      <c r="E86" s="155"/>
      <c r="F86" s="156"/>
      <c r="G86" s="146"/>
      <c r="H86" s="146"/>
      <c r="I86" s="147" t="str">
        <f t="shared" si="8"/>
        <v/>
      </c>
      <c r="J86" s="157"/>
      <c r="K86" s="148" t="str">
        <f t="shared" si="9"/>
        <v/>
      </c>
      <c r="L86" s="148" t="str">
        <f t="shared" si="10"/>
        <v/>
      </c>
      <c r="M86" s="149" t="str">
        <f t="shared" si="11"/>
        <v/>
      </c>
      <c r="Q86" s="150"/>
      <c r="R86" s="150"/>
      <c r="S86" s="150"/>
      <c r="BG86" s="150"/>
      <c r="BH86" s="150"/>
      <c r="BI86" s="150"/>
      <c r="BJ86" s="150"/>
      <c r="BK86" s="150"/>
      <c r="BL86" s="150"/>
      <c r="BM86" s="150"/>
      <c r="BN86" s="150"/>
      <c r="BO86" s="150"/>
      <c r="BP86" s="150"/>
      <c r="BQ86" s="150"/>
      <c r="BR86" s="150"/>
      <c r="BS86" s="150"/>
      <c r="BT86" s="150"/>
      <c r="BU86" s="150"/>
      <c r="BV86" s="150"/>
      <c r="BW86" s="150"/>
      <c r="BX86" s="150"/>
      <c r="BY86" s="150"/>
      <c r="BZ86" s="150"/>
      <c r="CA86" s="150"/>
      <c r="CB86" s="150"/>
      <c r="CC86" s="150"/>
      <c r="CD86" s="150"/>
      <c r="CE86" s="150"/>
      <c r="CF86" s="150"/>
      <c r="CG86" s="150"/>
      <c r="CH86" s="150"/>
      <c r="CI86" s="150"/>
      <c r="CJ86" s="150"/>
      <c r="CK86" s="150"/>
      <c r="CL86" s="150"/>
      <c r="CM86" s="150"/>
      <c r="CN86" s="150"/>
      <c r="CO86" s="150"/>
      <c r="CP86" s="150"/>
      <c r="CQ86" s="150"/>
      <c r="CR86" s="150"/>
      <c r="CS86" s="150"/>
      <c r="DE86" s="150"/>
    </row>
    <row r="87" spans="2:109" ht="30" customHeight="1" x14ac:dyDescent="0.25">
      <c r="B87" s="152"/>
      <c r="C87" s="153"/>
      <c r="D87" s="154"/>
      <c r="E87" s="155"/>
      <c r="F87" s="156"/>
      <c r="G87" s="146"/>
      <c r="H87" s="146"/>
      <c r="I87" s="147" t="str">
        <f t="shared" si="8"/>
        <v/>
      </c>
      <c r="J87" s="157"/>
      <c r="K87" s="148" t="str">
        <f t="shared" si="9"/>
        <v/>
      </c>
      <c r="L87" s="148" t="str">
        <f t="shared" si="10"/>
        <v/>
      </c>
      <c r="M87" s="149" t="str">
        <f t="shared" si="11"/>
        <v/>
      </c>
      <c r="Q87" s="150"/>
      <c r="R87" s="150"/>
      <c r="S87" s="150"/>
      <c r="BG87" s="150"/>
      <c r="BH87" s="150"/>
      <c r="BI87" s="150"/>
      <c r="BJ87" s="150"/>
      <c r="BK87" s="150"/>
      <c r="BL87" s="150"/>
      <c r="BM87" s="150"/>
      <c r="BN87" s="150"/>
      <c r="BO87" s="150"/>
      <c r="BP87" s="150"/>
      <c r="BQ87" s="150"/>
      <c r="BR87" s="150"/>
      <c r="BS87" s="150"/>
      <c r="BT87" s="150"/>
      <c r="BU87" s="150"/>
      <c r="BV87" s="150"/>
      <c r="BW87" s="150"/>
      <c r="BX87" s="150"/>
      <c r="BY87" s="150"/>
      <c r="BZ87" s="150"/>
      <c r="CA87" s="150"/>
      <c r="CB87" s="150"/>
      <c r="CC87" s="150"/>
      <c r="CD87" s="150"/>
      <c r="CE87" s="150"/>
      <c r="CF87" s="150"/>
      <c r="CG87" s="150"/>
      <c r="CH87" s="150"/>
      <c r="CI87" s="150"/>
      <c r="CJ87" s="150"/>
      <c r="CK87" s="150"/>
      <c r="CL87" s="150"/>
      <c r="CM87" s="150"/>
      <c r="CN87" s="150"/>
      <c r="CO87" s="150"/>
      <c r="CP87" s="150"/>
      <c r="CQ87" s="150"/>
      <c r="CR87" s="150"/>
      <c r="CS87" s="150"/>
      <c r="DE87" s="150"/>
    </row>
    <row r="88" spans="2:109" ht="30" customHeight="1" x14ac:dyDescent="0.25">
      <c r="B88" s="152"/>
      <c r="C88" s="153"/>
      <c r="D88" s="154"/>
      <c r="E88" s="155"/>
      <c r="F88" s="156"/>
      <c r="G88" s="146"/>
      <c r="H88" s="146"/>
      <c r="I88" s="147" t="str">
        <f t="shared" si="8"/>
        <v/>
      </c>
      <c r="J88" s="157"/>
      <c r="K88" s="148" t="str">
        <f t="shared" si="9"/>
        <v/>
      </c>
      <c r="L88" s="148" t="str">
        <f t="shared" si="10"/>
        <v/>
      </c>
      <c r="M88" s="149" t="str">
        <f t="shared" si="11"/>
        <v/>
      </c>
      <c r="Q88" s="150"/>
      <c r="R88" s="150"/>
      <c r="S88" s="150"/>
      <c r="BG88" s="150"/>
      <c r="BH88" s="150"/>
      <c r="BI88" s="150"/>
      <c r="BJ88" s="150"/>
      <c r="BK88" s="150"/>
      <c r="BL88" s="150"/>
      <c r="BM88" s="150"/>
      <c r="BN88" s="150"/>
      <c r="BO88" s="150"/>
      <c r="BP88" s="150"/>
      <c r="BQ88" s="150"/>
      <c r="BR88" s="150"/>
      <c r="BS88" s="150"/>
      <c r="BT88" s="150"/>
      <c r="BU88" s="150"/>
      <c r="BV88" s="150"/>
      <c r="BW88" s="150"/>
      <c r="BX88" s="150"/>
      <c r="BY88" s="150"/>
      <c r="BZ88" s="150"/>
      <c r="CA88" s="150"/>
      <c r="CB88" s="150"/>
      <c r="CC88" s="150"/>
      <c r="CD88" s="150"/>
      <c r="CE88" s="150"/>
      <c r="CF88" s="150"/>
      <c r="CG88" s="150"/>
      <c r="CH88" s="150"/>
      <c r="CI88" s="150"/>
      <c r="CJ88" s="150"/>
      <c r="CK88" s="150"/>
      <c r="CL88" s="150"/>
      <c r="CM88" s="150"/>
      <c r="CN88" s="150"/>
      <c r="CO88" s="150"/>
      <c r="CP88" s="150"/>
      <c r="CQ88" s="150"/>
      <c r="CR88" s="150"/>
      <c r="CS88" s="150"/>
      <c r="DE88" s="150"/>
    </row>
    <row r="89" spans="2:109" ht="30" customHeight="1" x14ac:dyDescent="0.25">
      <c r="B89" s="152"/>
      <c r="C89" s="153"/>
      <c r="D89" s="154"/>
      <c r="E89" s="155"/>
      <c r="F89" s="156"/>
      <c r="G89" s="146"/>
      <c r="H89" s="146"/>
      <c r="I89" s="147" t="str">
        <f t="shared" si="8"/>
        <v/>
      </c>
      <c r="J89" s="157"/>
      <c r="K89" s="148" t="str">
        <f t="shared" si="9"/>
        <v/>
      </c>
      <c r="L89" s="148" t="str">
        <f t="shared" si="10"/>
        <v/>
      </c>
      <c r="M89" s="149" t="str">
        <f t="shared" si="11"/>
        <v/>
      </c>
      <c r="Q89" s="150"/>
      <c r="R89" s="150"/>
      <c r="S89" s="150"/>
      <c r="BG89" s="150"/>
      <c r="BH89" s="150"/>
      <c r="BI89" s="150"/>
      <c r="BJ89" s="150"/>
      <c r="BK89" s="150"/>
      <c r="BL89" s="150"/>
      <c r="BM89" s="150"/>
      <c r="BN89" s="150"/>
      <c r="BO89" s="150"/>
      <c r="BP89" s="150"/>
      <c r="BQ89" s="150"/>
      <c r="BR89" s="150"/>
      <c r="BS89" s="150"/>
      <c r="BT89" s="150"/>
      <c r="BU89" s="150"/>
      <c r="BV89" s="150"/>
      <c r="BW89" s="150"/>
      <c r="BX89" s="150"/>
      <c r="BY89" s="150"/>
      <c r="BZ89" s="150"/>
      <c r="CA89" s="150"/>
      <c r="CB89" s="150"/>
      <c r="CC89" s="150"/>
      <c r="CD89" s="150"/>
      <c r="CE89" s="150"/>
      <c r="CF89" s="150"/>
      <c r="CG89" s="150"/>
      <c r="CH89" s="150"/>
      <c r="CI89" s="150"/>
      <c r="CJ89" s="150"/>
      <c r="CK89" s="150"/>
      <c r="CL89" s="150"/>
      <c r="CM89" s="150"/>
      <c r="CN89" s="150"/>
      <c r="CO89" s="150"/>
      <c r="CP89" s="150"/>
      <c r="CQ89" s="150"/>
      <c r="CR89" s="150"/>
      <c r="CS89" s="150"/>
      <c r="DE89" s="150"/>
    </row>
    <row r="90" spans="2:109" ht="30" customHeight="1" x14ac:dyDescent="0.25">
      <c r="B90" s="152"/>
      <c r="C90" s="153"/>
      <c r="D90" s="154"/>
      <c r="E90" s="155"/>
      <c r="F90" s="156"/>
      <c r="G90" s="146"/>
      <c r="H90" s="146"/>
      <c r="I90" s="147" t="str">
        <f t="shared" si="8"/>
        <v/>
      </c>
      <c r="J90" s="157"/>
      <c r="K90" s="148" t="str">
        <f t="shared" si="9"/>
        <v/>
      </c>
      <c r="L90" s="148" t="str">
        <f t="shared" si="10"/>
        <v/>
      </c>
      <c r="M90" s="149" t="str">
        <f t="shared" si="11"/>
        <v/>
      </c>
      <c r="Q90" s="150"/>
      <c r="R90" s="150"/>
      <c r="S90" s="150"/>
      <c r="BG90" s="150"/>
      <c r="BH90" s="150"/>
      <c r="BI90" s="150"/>
      <c r="BJ90" s="150"/>
      <c r="BK90" s="150"/>
      <c r="BL90" s="150"/>
      <c r="BM90" s="150"/>
      <c r="BN90" s="150"/>
      <c r="BO90" s="150"/>
      <c r="BP90" s="150"/>
      <c r="BQ90" s="150"/>
      <c r="BR90" s="150"/>
      <c r="BS90" s="150"/>
      <c r="BT90" s="150"/>
      <c r="BU90" s="150"/>
      <c r="BV90" s="150"/>
      <c r="BW90" s="150"/>
      <c r="BX90" s="150"/>
      <c r="BY90" s="150"/>
      <c r="BZ90" s="150"/>
      <c r="CA90" s="150"/>
      <c r="CB90" s="150"/>
      <c r="CC90" s="150"/>
      <c r="CD90" s="150"/>
      <c r="CE90" s="150"/>
      <c r="CF90" s="150"/>
      <c r="CG90" s="150"/>
      <c r="CH90" s="150"/>
      <c r="CI90" s="150"/>
      <c r="CJ90" s="150"/>
      <c r="CK90" s="150"/>
      <c r="CL90" s="150"/>
      <c r="CM90" s="150"/>
      <c r="CN90" s="150"/>
      <c r="CO90" s="150"/>
      <c r="CP90" s="150"/>
      <c r="CQ90" s="150"/>
      <c r="CR90" s="150"/>
      <c r="CS90" s="150"/>
      <c r="DE90" s="150"/>
    </row>
    <row r="91" spans="2:109" ht="30" customHeight="1" x14ac:dyDescent="0.25">
      <c r="B91" s="152"/>
      <c r="C91" s="153"/>
      <c r="D91" s="154"/>
      <c r="E91" s="155"/>
      <c r="F91" s="156"/>
      <c r="G91" s="146"/>
      <c r="H91" s="146"/>
      <c r="I91" s="147" t="str">
        <f t="shared" si="8"/>
        <v/>
      </c>
      <c r="J91" s="157"/>
      <c r="K91" s="148" t="str">
        <f t="shared" si="9"/>
        <v/>
      </c>
      <c r="L91" s="148" t="str">
        <f t="shared" si="10"/>
        <v/>
      </c>
      <c r="M91" s="149" t="str">
        <f t="shared" si="11"/>
        <v/>
      </c>
      <c r="Q91" s="150"/>
      <c r="R91" s="150"/>
      <c r="S91" s="150"/>
      <c r="BG91" s="150"/>
      <c r="BH91" s="150"/>
      <c r="BI91" s="150"/>
      <c r="BJ91" s="150"/>
      <c r="BK91" s="150"/>
      <c r="BL91" s="150"/>
      <c r="BM91" s="150"/>
      <c r="BN91" s="150"/>
      <c r="BO91" s="150"/>
      <c r="BP91" s="150"/>
      <c r="BQ91" s="150"/>
      <c r="BR91" s="150"/>
      <c r="BS91" s="150"/>
      <c r="BT91" s="150"/>
      <c r="BU91" s="150"/>
      <c r="BV91" s="150"/>
      <c r="BW91" s="150"/>
      <c r="BX91" s="150"/>
      <c r="BY91" s="150"/>
      <c r="BZ91" s="150"/>
      <c r="CA91" s="150"/>
      <c r="CB91" s="150"/>
      <c r="CC91" s="150"/>
      <c r="CD91" s="150"/>
      <c r="CE91" s="150"/>
      <c r="CF91" s="150"/>
      <c r="CG91" s="150"/>
      <c r="CH91" s="150"/>
      <c r="CI91" s="150"/>
      <c r="CJ91" s="150"/>
      <c r="CK91" s="150"/>
      <c r="CL91" s="150"/>
      <c r="CM91" s="150"/>
      <c r="CN91" s="150"/>
      <c r="CO91" s="150"/>
      <c r="CP91" s="150"/>
      <c r="CQ91" s="150"/>
      <c r="CR91" s="150"/>
      <c r="CS91" s="150"/>
      <c r="DE91" s="150"/>
    </row>
    <row r="92" spans="2:109" ht="30" customHeight="1" x14ac:dyDescent="0.25">
      <c r="B92" s="152"/>
      <c r="C92" s="153"/>
      <c r="D92" s="154"/>
      <c r="E92" s="155"/>
      <c r="F92" s="156"/>
      <c r="G92" s="146"/>
      <c r="H92" s="146"/>
      <c r="I92" s="147" t="str">
        <f t="shared" si="8"/>
        <v/>
      </c>
      <c r="J92" s="157"/>
      <c r="K92" s="148" t="str">
        <f t="shared" si="9"/>
        <v/>
      </c>
      <c r="L92" s="148" t="str">
        <f t="shared" si="10"/>
        <v/>
      </c>
      <c r="M92" s="149" t="str">
        <f t="shared" si="11"/>
        <v/>
      </c>
      <c r="Q92" s="150"/>
      <c r="R92" s="150"/>
      <c r="S92" s="150"/>
      <c r="BG92" s="150"/>
      <c r="BH92" s="150"/>
      <c r="BI92" s="150"/>
      <c r="BJ92" s="150"/>
      <c r="BK92" s="150"/>
      <c r="BL92" s="150"/>
      <c r="BM92" s="150"/>
      <c r="BN92" s="150"/>
      <c r="BO92" s="150"/>
      <c r="BP92" s="150"/>
      <c r="BQ92" s="150"/>
      <c r="BR92" s="150"/>
      <c r="BS92" s="150"/>
      <c r="BT92" s="150"/>
      <c r="BU92" s="150"/>
      <c r="BV92" s="150"/>
      <c r="BW92" s="150"/>
      <c r="BX92" s="150"/>
      <c r="BY92" s="150"/>
      <c r="BZ92" s="150"/>
      <c r="CA92" s="150"/>
      <c r="CB92" s="150"/>
      <c r="CC92" s="150"/>
      <c r="CD92" s="150"/>
      <c r="CE92" s="150"/>
      <c r="CF92" s="150"/>
      <c r="CG92" s="150"/>
      <c r="CH92" s="150"/>
      <c r="CI92" s="150"/>
      <c r="CJ92" s="150"/>
      <c r="CK92" s="150"/>
      <c r="CL92" s="150"/>
      <c r="CM92" s="150"/>
      <c r="CN92" s="150"/>
      <c r="CO92" s="150"/>
      <c r="CP92" s="150"/>
      <c r="CQ92" s="150"/>
      <c r="CR92" s="150"/>
      <c r="CS92" s="150"/>
      <c r="DE92" s="150"/>
    </row>
    <row r="93" spans="2:109" ht="30" customHeight="1" x14ac:dyDescent="0.25">
      <c r="B93" s="152"/>
      <c r="C93" s="153"/>
      <c r="D93" s="154"/>
      <c r="E93" s="155"/>
      <c r="F93" s="156"/>
      <c r="G93" s="146"/>
      <c r="H93" s="146"/>
      <c r="I93" s="147" t="str">
        <f t="shared" si="8"/>
        <v/>
      </c>
      <c r="J93" s="157"/>
      <c r="K93" s="148" t="str">
        <f t="shared" si="9"/>
        <v/>
      </c>
      <c r="L93" s="148" t="str">
        <f t="shared" si="10"/>
        <v/>
      </c>
      <c r="M93" s="149" t="str">
        <f t="shared" si="11"/>
        <v/>
      </c>
      <c r="Q93" s="150"/>
      <c r="R93" s="150"/>
      <c r="S93" s="150"/>
      <c r="BG93" s="150"/>
      <c r="BH93" s="150"/>
      <c r="BI93" s="150"/>
      <c r="BJ93" s="150"/>
      <c r="BK93" s="150"/>
      <c r="BL93" s="150"/>
      <c r="BM93" s="150"/>
      <c r="BN93" s="150"/>
      <c r="BO93" s="150"/>
      <c r="BP93" s="150"/>
      <c r="BQ93" s="150"/>
      <c r="BR93" s="150"/>
      <c r="BS93" s="150"/>
      <c r="BT93" s="150"/>
      <c r="BU93" s="150"/>
      <c r="BV93" s="150"/>
      <c r="BW93" s="150"/>
      <c r="BX93" s="150"/>
      <c r="BY93" s="150"/>
      <c r="BZ93" s="150"/>
      <c r="CA93" s="150"/>
      <c r="CB93" s="150"/>
      <c r="CC93" s="150"/>
      <c r="CD93" s="150"/>
      <c r="CE93" s="150"/>
      <c r="CF93" s="150"/>
      <c r="CG93" s="150"/>
      <c r="CH93" s="150"/>
      <c r="CI93" s="150"/>
      <c r="CJ93" s="150"/>
      <c r="CK93" s="150"/>
      <c r="CL93" s="150"/>
      <c r="CM93" s="150"/>
      <c r="CN93" s="150"/>
      <c r="CO93" s="150"/>
      <c r="CP93" s="150"/>
      <c r="CQ93" s="150"/>
      <c r="CR93" s="150"/>
      <c r="CS93" s="150"/>
      <c r="DE93" s="150"/>
    </row>
    <row r="94" spans="2:109" ht="30" customHeight="1" x14ac:dyDescent="0.25">
      <c r="B94" s="152"/>
      <c r="C94" s="153"/>
      <c r="D94" s="154"/>
      <c r="E94" s="155"/>
      <c r="F94" s="156"/>
      <c r="G94" s="146"/>
      <c r="H94" s="146"/>
      <c r="I94" s="147" t="str">
        <f t="shared" si="8"/>
        <v/>
      </c>
      <c r="J94" s="157"/>
      <c r="K94" s="148" t="str">
        <f t="shared" si="9"/>
        <v/>
      </c>
      <c r="L94" s="148" t="str">
        <f t="shared" si="10"/>
        <v/>
      </c>
      <c r="M94" s="149" t="str">
        <f t="shared" si="11"/>
        <v/>
      </c>
      <c r="Q94" s="150"/>
      <c r="R94" s="150"/>
      <c r="S94" s="150"/>
      <c r="BG94" s="150"/>
      <c r="BH94" s="150"/>
      <c r="BI94" s="150"/>
      <c r="BJ94" s="150"/>
      <c r="BK94" s="150"/>
      <c r="BL94" s="150"/>
      <c r="BM94" s="150"/>
      <c r="BN94" s="150"/>
      <c r="BO94" s="150"/>
      <c r="BP94" s="150"/>
      <c r="BQ94" s="150"/>
      <c r="BR94" s="150"/>
      <c r="BS94" s="150"/>
      <c r="BT94" s="150"/>
      <c r="BU94" s="150"/>
      <c r="BV94" s="150"/>
      <c r="BW94" s="150"/>
      <c r="BX94" s="150"/>
      <c r="BY94" s="150"/>
      <c r="BZ94" s="150"/>
      <c r="CA94" s="150"/>
      <c r="CB94" s="150"/>
      <c r="CC94" s="150"/>
      <c r="CD94" s="150"/>
      <c r="CE94" s="150"/>
      <c r="CF94" s="150"/>
      <c r="CG94" s="150"/>
      <c r="CH94" s="150"/>
      <c r="CI94" s="150"/>
      <c r="CJ94" s="150"/>
      <c r="CK94" s="150"/>
      <c r="CL94" s="150"/>
      <c r="CM94" s="150"/>
      <c r="CN94" s="150"/>
      <c r="CO94" s="150"/>
      <c r="CP94" s="150"/>
      <c r="CQ94" s="150"/>
      <c r="CR94" s="150"/>
      <c r="CS94" s="150"/>
      <c r="DE94" s="150"/>
    </row>
    <row r="95" spans="2:109" ht="30" customHeight="1" x14ac:dyDescent="0.25">
      <c r="B95" s="152"/>
      <c r="C95" s="153"/>
      <c r="D95" s="154"/>
      <c r="E95" s="155"/>
      <c r="F95" s="156"/>
      <c r="G95" s="146"/>
      <c r="H95" s="146"/>
      <c r="I95" s="147" t="str">
        <f t="shared" si="8"/>
        <v/>
      </c>
      <c r="J95" s="157"/>
      <c r="K95" s="148" t="str">
        <f t="shared" si="9"/>
        <v/>
      </c>
      <c r="L95" s="148" t="str">
        <f t="shared" si="10"/>
        <v/>
      </c>
      <c r="M95" s="149" t="str">
        <f t="shared" si="11"/>
        <v/>
      </c>
      <c r="Q95" s="150"/>
      <c r="R95" s="150"/>
      <c r="S95" s="150"/>
      <c r="BG95" s="150"/>
      <c r="BH95" s="150"/>
      <c r="BI95" s="150"/>
      <c r="BJ95" s="150"/>
      <c r="BK95" s="150"/>
      <c r="BL95" s="150"/>
      <c r="BM95" s="150"/>
      <c r="BN95" s="150"/>
      <c r="BO95" s="150"/>
      <c r="BP95" s="150"/>
      <c r="BQ95" s="150"/>
      <c r="BR95" s="150"/>
      <c r="BS95" s="150"/>
      <c r="BT95" s="150"/>
      <c r="BU95" s="150"/>
      <c r="BV95" s="150"/>
      <c r="BW95" s="150"/>
      <c r="BX95" s="150"/>
      <c r="BY95" s="150"/>
      <c r="BZ95" s="150"/>
      <c r="CA95" s="150"/>
      <c r="CB95" s="150"/>
      <c r="CC95" s="150"/>
      <c r="CD95" s="150"/>
      <c r="CE95" s="150"/>
      <c r="CF95" s="150"/>
      <c r="CG95" s="150"/>
      <c r="CH95" s="150"/>
      <c r="CI95" s="150"/>
      <c r="CJ95" s="150"/>
      <c r="CK95" s="150"/>
      <c r="CL95" s="150"/>
      <c r="CM95" s="150"/>
      <c r="CN95" s="150"/>
      <c r="CO95" s="150"/>
      <c r="CP95" s="150"/>
      <c r="CQ95" s="150"/>
      <c r="CR95" s="150"/>
      <c r="CS95" s="150"/>
      <c r="DE95" s="150"/>
    </row>
    <row r="96" spans="2:109" ht="30" customHeight="1" x14ac:dyDescent="0.25">
      <c r="B96" s="152"/>
      <c r="C96" s="153"/>
      <c r="D96" s="154"/>
      <c r="E96" s="155"/>
      <c r="F96" s="156"/>
      <c r="G96" s="146"/>
      <c r="H96" s="146"/>
      <c r="I96" s="147" t="str">
        <f t="shared" si="8"/>
        <v/>
      </c>
      <c r="J96" s="157"/>
      <c r="K96" s="148" t="str">
        <f t="shared" si="9"/>
        <v/>
      </c>
      <c r="L96" s="148" t="str">
        <f t="shared" si="10"/>
        <v/>
      </c>
      <c r="M96" s="149" t="str">
        <f t="shared" si="11"/>
        <v/>
      </c>
      <c r="Q96" s="150"/>
      <c r="R96" s="150"/>
      <c r="S96" s="150"/>
      <c r="BG96" s="150"/>
      <c r="BH96" s="150"/>
      <c r="BI96" s="150"/>
      <c r="BJ96" s="150"/>
      <c r="BK96" s="150"/>
      <c r="BL96" s="150"/>
      <c r="BM96" s="150"/>
      <c r="BN96" s="150"/>
      <c r="BO96" s="150"/>
      <c r="BP96" s="150"/>
      <c r="BQ96" s="150"/>
      <c r="BR96" s="150"/>
      <c r="BS96" s="150"/>
      <c r="BT96" s="150"/>
      <c r="BU96" s="150"/>
      <c r="BV96" s="150"/>
      <c r="BW96" s="150"/>
      <c r="BX96" s="150"/>
      <c r="BY96" s="150"/>
      <c r="BZ96" s="150"/>
      <c r="CA96" s="150"/>
      <c r="CB96" s="150"/>
      <c r="CC96" s="150"/>
      <c r="CD96" s="150"/>
      <c r="CE96" s="150"/>
      <c r="CF96" s="150"/>
      <c r="CG96" s="150"/>
      <c r="CH96" s="150"/>
      <c r="CI96" s="150"/>
      <c r="CJ96" s="150"/>
      <c r="CK96" s="150"/>
      <c r="CL96" s="150"/>
      <c r="CM96" s="150"/>
      <c r="CN96" s="150"/>
      <c r="CO96" s="150"/>
      <c r="CP96" s="150"/>
      <c r="CQ96" s="150"/>
      <c r="CR96" s="150"/>
      <c r="CS96" s="150"/>
      <c r="DE96" s="150"/>
    </row>
    <row r="97" spans="2:109" ht="30" customHeight="1" x14ac:dyDescent="0.25">
      <c r="B97" s="152"/>
      <c r="C97" s="153"/>
      <c r="D97" s="154"/>
      <c r="E97" s="155"/>
      <c r="F97" s="156"/>
      <c r="G97" s="146"/>
      <c r="H97" s="146"/>
      <c r="I97" s="147" t="str">
        <f t="shared" si="8"/>
        <v/>
      </c>
      <c r="J97" s="157"/>
      <c r="K97" s="148" t="str">
        <f t="shared" si="9"/>
        <v/>
      </c>
      <c r="L97" s="148" t="str">
        <f t="shared" si="10"/>
        <v/>
      </c>
      <c r="M97" s="149" t="str">
        <f t="shared" si="11"/>
        <v/>
      </c>
      <c r="Q97" s="150"/>
      <c r="R97" s="150"/>
      <c r="S97" s="150"/>
      <c r="BG97" s="150"/>
      <c r="BH97" s="150"/>
      <c r="BI97" s="150"/>
      <c r="BJ97" s="150"/>
      <c r="BK97" s="150"/>
      <c r="BL97" s="150"/>
      <c r="BM97" s="150"/>
      <c r="BN97" s="150"/>
      <c r="BO97" s="150"/>
      <c r="BP97" s="150"/>
      <c r="BQ97" s="150"/>
      <c r="BR97" s="150"/>
      <c r="BS97" s="150"/>
      <c r="BT97" s="150"/>
      <c r="BU97" s="150"/>
      <c r="BV97" s="150"/>
      <c r="BW97" s="150"/>
      <c r="BX97" s="150"/>
      <c r="BY97" s="150"/>
      <c r="BZ97" s="150"/>
      <c r="CA97" s="150"/>
      <c r="CB97" s="150"/>
      <c r="CC97" s="150"/>
      <c r="CD97" s="150"/>
      <c r="CE97" s="150"/>
      <c r="CF97" s="150"/>
      <c r="CG97" s="150"/>
      <c r="CH97" s="150"/>
      <c r="CI97" s="150"/>
      <c r="CJ97" s="150"/>
      <c r="CK97" s="150"/>
      <c r="CL97" s="150"/>
      <c r="CM97" s="150"/>
      <c r="CN97" s="150"/>
      <c r="CO97" s="150"/>
      <c r="CP97" s="150"/>
      <c r="CQ97" s="150"/>
      <c r="CR97" s="150"/>
      <c r="CS97" s="150"/>
      <c r="DE97" s="150"/>
    </row>
    <row r="98" spans="2:109" ht="30" customHeight="1" x14ac:dyDescent="0.25">
      <c r="B98" s="152"/>
      <c r="C98" s="153"/>
      <c r="D98" s="154"/>
      <c r="E98" s="155"/>
      <c r="F98" s="156"/>
      <c r="G98" s="146"/>
      <c r="H98" s="146"/>
      <c r="I98" s="147" t="str">
        <f t="shared" si="8"/>
        <v/>
      </c>
      <c r="J98" s="157"/>
      <c r="K98" s="148" t="str">
        <f t="shared" si="9"/>
        <v/>
      </c>
      <c r="L98" s="148" t="str">
        <f t="shared" si="10"/>
        <v/>
      </c>
      <c r="M98" s="149" t="str">
        <f t="shared" si="11"/>
        <v/>
      </c>
      <c r="Q98" s="150"/>
      <c r="R98" s="150"/>
      <c r="S98" s="150"/>
      <c r="BG98" s="150"/>
      <c r="BH98" s="150"/>
      <c r="BI98" s="150"/>
      <c r="BJ98" s="150"/>
      <c r="BK98" s="150"/>
      <c r="BL98" s="150"/>
      <c r="BM98" s="150"/>
      <c r="BN98" s="150"/>
      <c r="BO98" s="150"/>
      <c r="BP98" s="150"/>
      <c r="BQ98" s="150"/>
      <c r="BR98" s="150"/>
      <c r="BS98" s="150"/>
      <c r="BT98" s="150"/>
      <c r="BU98" s="150"/>
      <c r="BV98" s="150"/>
      <c r="BW98" s="150"/>
      <c r="BX98" s="150"/>
      <c r="BY98" s="150"/>
      <c r="BZ98" s="150"/>
      <c r="CA98" s="150"/>
      <c r="CB98" s="150"/>
      <c r="CC98" s="150"/>
      <c r="CD98" s="150"/>
      <c r="CE98" s="150"/>
      <c r="CF98" s="150"/>
      <c r="CG98" s="150"/>
      <c r="CH98" s="150"/>
      <c r="CI98" s="150"/>
      <c r="CJ98" s="150"/>
      <c r="CK98" s="150"/>
      <c r="CL98" s="150"/>
      <c r="CM98" s="150"/>
      <c r="CN98" s="150"/>
      <c r="CO98" s="150"/>
      <c r="CP98" s="150"/>
      <c r="CQ98" s="150"/>
      <c r="CR98" s="150"/>
      <c r="CS98" s="150"/>
      <c r="DE98" s="150"/>
    </row>
    <row r="99" spans="2:109" ht="30" customHeight="1" x14ac:dyDescent="0.25">
      <c r="B99" s="152"/>
      <c r="C99" s="153"/>
      <c r="D99" s="154"/>
      <c r="E99" s="155"/>
      <c r="F99" s="156"/>
      <c r="G99" s="146"/>
      <c r="H99" s="146"/>
      <c r="I99" s="147" t="str">
        <f t="shared" si="8"/>
        <v/>
      </c>
      <c r="J99" s="157"/>
      <c r="K99" s="148" t="str">
        <f t="shared" si="9"/>
        <v/>
      </c>
      <c r="L99" s="148" t="str">
        <f t="shared" si="10"/>
        <v/>
      </c>
      <c r="M99" s="149" t="str">
        <f t="shared" si="11"/>
        <v/>
      </c>
      <c r="Q99" s="150"/>
      <c r="R99" s="150"/>
      <c r="S99" s="150"/>
      <c r="BG99" s="150"/>
      <c r="BH99" s="150"/>
      <c r="BI99" s="150"/>
      <c r="BJ99" s="150"/>
      <c r="BK99" s="150"/>
      <c r="BL99" s="150"/>
      <c r="BM99" s="150"/>
      <c r="BN99" s="150"/>
      <c r="BO99" s="150"/>
      <c r="BP99" s="150"/>
      <c r="BQ99" s="150"/>
      <c r="BR99" s="150"/>
      <c r="BS99" s="150"/>
      <c r="BT99" s="150"/>
      <c r="BU99" s="150"/>
      <c r="BV99" s="150"/>
      <c r="BW99" s="150"/>
      <c r="BX99" s="150"/>
      <c r="BY99" s="150"/>
      <c r="BZ99" s="150"/>
      <c r="CA99" s="150"/>
      <c r="CB99" s="150"/>
      <c r="CC99" s="150"/>
      <c r="CD99" s="150"/>
      <c r="CE99" s="150"/>
      <c r="CF99" s="150"/>
      <c r="CG99" s="150"/>
      <c r="CH99" s="150"/>
      <c r="CI99" s="150"/>
      <c r="CJ99" s="150"/>
      <c r="CK99" s="150"/>
      <c r="CL99" s="150"/>
      <c r="CM99" s="150"/>
      <c r="CN99" s="150"/>
      <c r="CO99" s="150"/>
      <c r="CP99" s="150"/>
      <c r="CQ99" s="150"/>
      <c r="CR99" s="150"/>
      <c r="CS99" s="150"/>
      <c r="DE99" s="150"/>
    </row>
    <row r="100" spans="2:109" ht="30" customHeight="1" x14ac:dyDescent="0.25">
      <c r="B100" s="152"/>
      <c r="C100" s="153"/>
      <c r="D100" s="154"/>
      <c r="E100" s="155"/>
      <c r="F100" s="156"/>
      <c r="G100" s="146"/>
      <c r="H100" s="146"/>
      <c r="I100" s="147" t="str">
        <f t="shared" si="8"/>
        <v/>
      </c>
      <c r="J100" s="157"/>
      <c r="K100" s="148" t="str">
        <f t="shared" si="9"/>
        <v/>
      </c>
      <c r="L100" s="148" t="str">
        <f t="shared" si="10"/>
        <v/>
      </c>
      <c r="M100" s="149" t="str">
        <f t="shared" si="11"/>
        <v/>
      </c>
      <c r="Q100" s="150"/>
      <c r="R100" s="150"/>
      <c r="S100" s="150"/>
      <c r="BG100" s="150"/>
      <c r="BH100" s="150"/>
      <c r="BI100" s="150"/>
      <c r="BJ100" s="150"/>
      <c r="BK100" s="150"/>
      <c r="BL100" s="150"/>
      <c r="BM100" s="150"/>
      <c r="BN100" s="150"/>
      <c r="BO100" s="150"/>
      <c r="BP100" s="150"/>
      <c r="BQ100" s="150"/>
      <c r="BR100" s="150"/>
      <c r="BS100" s="150"/>
      <c r="BT100" s="150"/>
      <c r="BU100" s="150"/>
      <c r="BV100" s="150"/>
      <c r="BW100" s="150"/>
      <c r="BX100" s="150"/>
      <c r="BY100" s="150"/>
      <c r="BZ100" s="150"/>
      <c r="CA100" s="150"/>
      <c r="CB100" s="150"/>
      <c r="CC100" s="150"/>
      <c r="CD100" s="150"/>
      <c r="CE100" s="150"/>
      <c r="CF100" s="150"/>
      <c r="CG100" s="150"/>
      <c r="CH100" s="150"/>
      <c r="CI100" s="150"/>
      <c r="CJ100" s="150"/>
      <c r="CK100" s="150"/>
      <c r="CL100" s="150"/>
      <c r="CM100" s="150"/>
      <c r="CN100" s="150"/>
      <c r="CO100" s="150"/>
      <c r="CP100" s="150"/>
      <c r="CQ100" s="150"/>
      <c r="CR100" s="150"/>
      <c r="CS100" s="150"/>
      <c r="DE100" s="150"/>
    </row>
    <row r="101" spans="2:109" x14ac:dyDescent="0.25">
      <c r="B101" s="151"/>
      <c r="K101" s="119" t="str">
        <f t="shared" ref="K101:K110" si="12">IF(C101&lt;&gt;"",$C$2,"")</f>
        <v/>
      </c>
      <c r="L101" s="119" t="str">
        <f t="shared" ref="L101:L110" si="13">IF(C101&lt;&gt;"",$C$1,"")</f>
        <v/>
      </c>
      <c r="AH101" s="128" t="str">
        <f t="shared" ref="AH101:AH107" si="14">IF(AE101&lt;&gt;"",IF(AG101&lt;&gt;"",AG101,AF101),"")</f>
        <v/>
      </c>
    </row>
    <row r="102" spans="2:109" x14ac:dyDescent="0.25">
      <c r="B102" s="151"/>
      <c r="K102" s="119" t="str">
        <f t="shared" si="12"/>
        <v/>
      </c>
      <c r="L102" s="119" t="str">
        <f t="shared" si="13"/>
        <v/>
      </c>
      <c r="AH102" s="128" t="str">
        <f t="shared" si="14"/>
        <v/>
      </c>
    </row>
    <row r="103" spans="2:109" x14ac:dyDescent="0.25">
      <c r="B103" s="151"/>
      <c r="K103" s="119" t="str">
        <f t="shared" si="12"/>
        <v/>
      </c>
      <c r="L103" s="119" t="str">
        <f t="shared" si="13"/>
        <v/>
      </c>
      <c r="AH103" s="128" t="str">
        <f t="shared" si="14"/>
        <v/>
      </c>
    </row>
    <row r="104" spans="2:109" x14ac:dyDescent="0.25">
      <c r="B104" s="151"/>
      <c r="K104" s="119" t="str">
        <f t="shared" si="12"/>
        <v/>
      </c>
      <c r="L104" s="119" t="str">
        <f t="shared" si="13"/>
        <v/>
      </c>
      <c r="AH104" s="128" t="str">
        <f t="shared" si="14"/>
        <v/>
      </c>
    </row>
    <row r="105" spans="2:109" x14ac:dyDescent="0.25">
      <c r="B105" s="151"/>
      <c r="K105" s="119" t="str">
        <f t="shared" si="12"/>
        <v/>
      </c>
      <c r="L105" s="119" t="str">
        <f t="shared" si="13"/>
        <v/>
      </c>
      <c r="AH105" s="128" t="str">
        <f t="shared" si="14"/>
        <v/>
      </c>
    </row>
    <row r="106" spans="2:109" x14ac:dyDescent="0.25">
      <c r="B106" s="151"/>
      <c r="K106" s="119" t="str">
        <f t="shared" si="12"/>
        <v/>
      </c>
      <c r="L106" s="119" t="str">
        <f t="shared" si="13"/>
        <v/>
      </c>
      <c r="AH106" s="128" t="str">
        <f t="shared" si="14"/>
        <v/>
      </c>
    </row>
    <row r="107" spans="2:109" x14ac:dyDescent="0.25">
      <c r="B107" s="151"/>
      <c r="K107" s="119" t="str">
        <f t="shared" si="12"/>
        <v/>
      </c>
      <c r="L107" s="119" t="str">
        <f t="shared" si="13"/>
        <v/>
      </c>
      <c r="AH107" s="128" t="str">
        <f t="shared" si="14"/>
        <v/>
      </c>
    </row>
    <row r="108" spans="2:109" x14ac:dyDescent="0.25">
      <c r="K108" s="119" t="str">
        <f t="shared" si="12"/>
        <v/>
      </c>
      <c r="L108" s="119" t="str">
        <f t="shared" si="13"/>
        <v/>
      </c>
    </row>
    <row r="109" spans="2:109" x14ac:dyDescent="0.25">
      <c r="K109" s="119" t="str">
        <f t="shared" si="12"/>
        <v/>
      </c>
      <c r="L109" s="119" t="str">
        <f t="shared" si="13"/>
        <v/>
      </c>
    </row>
    <row r="110" spans="2:109" x14ac:dyDescent="0.25">
      <c r="K110" s="119" t="str">
        <f t="shared" si="12"/>
        <v/>
      </c>
      <c r="L110" s="119" t="str">
        <f t="shared" si="13"/>
        <v/>
      </c>
    </row>
  </sheetData>
  <sheetProtection algorithmName="SHA-512" hashValue="X6zgQ7oejzLisK7fszGkYqQFmAjfyCJtuA+wy/hlWOHS+OXgfkPAwOuys3t+2TDTCNDYC/ibFACr/+FAj6w4dA==" saltValue="B+foxj5jP09QOyn+z1U2Eg==" spinCount="100000" sheet="1" objects="1" scenarios="1"/>
  <dataValidations count="16">
    <dataValidation type="list" allowBlank="1" showInputMessage="1" showErrorMessage="1" sqref="C2" xr:uid="{F9D85D29-D007-4BBC-936A-CD50872CE402}">
      <formula1>"JL2,JL3,JL4,JL5,JL6,JL7"</formula1>
    </dataValidation>
    <dataValidation type="whole" allowBlank="1" showInputMessage="1" showErrorMessage="1" errorTitle="Employee No." error="Employee Number can be numeric only" sqref="C1" xr:uid="{E1E97221-A004-447A-BBE8-D97E32B0D674}">
      <formula1>1</formula1>
      <formula2>999999999999999000</formula2>
    </dataValidation>
    <dataValidation type="list" allowBlank="1" showInputMessage="1" showErrorMessage="1" sqref="C5 C6 C7 C8 C9 C10 C11 C12 C13 C14 C15 C16 C17 C18 C19 C20 C21 C22 C23 C24 C25 C26 C27 C28 C29 C30 C31 C32 C33 C34 C35 C36 C37 C38 C39 C40 C41 C42 C43 C44 C45 C46 C47 C48 C49 C50 C51 C52 C53 C54 C55 C56 C57 C58 C59 C60 C61 C62 C63 C64 C65 C66 C67 C68 C69 C70 C71 C72 C73 C74 C75 C76 C77 C78 C79 C80 C81 C82 C83 C84 C85 C86 C87 C88 C89 C90 C91 C92 C93 C94 C95 C96 C97 C98 C99 C100" xr:uid="{F95591FD-E80B-413C-B564-1A450D1FD49F}">
      <formula1>"AD,AMS,Management,Testing,Generic,Agile,Tech. Meeting,"</formula1>
    </dataValidation>
    <dataValidation type="list" allowBlank="1" showInputMessage="1" showErrorMessage="1" sqref="E100 D100 E99 D99 E98 D98 E97 D97 E96 D96 E95 D95 E94 D94 D12 E12 D13 E13 D14 E14 D15 E15 D16 E16 D17 E17 D18 E18 D19 E19 D20 E20 D21 E21 D22 E22 D23 E23 D24 E24 D25 E25 D26 E26 D27 E27 D28 E28 D29 E29 D30 E30 D31 E31 D32 E32 D33 E33 D34 E34 D35 E35 D36 E36 D37 E37 D38 E38 D39 E39 D40 E40 D41 E41 D42 E42 D43 E43 D44 E44 D45 E45 D46 E46 D47 E47 D48 E48 D49 E49 D50 E50 D51 E51 D52 E52 D53 E53 D54 E54 D55 E55 D56 E56 D57 E57 D58 E58 D59 E59 D60 E60 D61 E61 D62 E62 D63 E63 D64 E64 D65 E65 D66 E66 D67 E67 D68 E68 D69 E69 D70 E70 D71 E71 D72 E72 D73 E73 D74 E74 D75 E75 D76 E76 D77 E77 D78 E78 D79 E79 D80 E80 D81 E81 D82 E82 D83 E83 D84 E84 D85 E85 D86 E86 D87 E87 D88 E88 D89 E89 D90 E90 D91 E91 D92 E92 D93 E93" xr:uid="{A2F6E286-5FEF-466D-A387-19A652FDEDD3}">
      <formula1>" "</formula1>
    </dataValidation>
    <dataValidation type="list" allowBlank="1" showInputMessage="1" showErrorMessage="1" sqref="B5 B6 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xr:uid="{72E0B57E-5E8F-422A-B255-8E74D8813712}">
      <formula1>"Yes,No"</formula1>
    </dataValidation>
    <dataValidation type="list" allowBlank="1" showInputMessage="1" showErrorMessage="1" sqref="D5 D10 D11" xr:uid="{6126BD94-AF00-4C68-8C73-5CC92056D997}">
      <formula1>"Test Case Preparation and Test data setup,Test Execution,Test requirements gathering and analysis,Test strategizing and planning,Others,Review activities,Defect creation,Defect Triaging and Tracking,"</formula1>
    </dataValidation>
    <dataValidation type="list" allowBlank="1" showInputMessage="1" showErrorMessage="1" sqref="E11" xr:uid="{E3EBC2FA-4A86-473F-BD91-4AFF0F2F4198}">
      <formula1>",,,,,"</formula1>
    </dataValidation>
    <dataValidation type="list" allowBlank="1" showInputMessage="1" showErrorMessage="1" sqref="E5" xr:uid="{8A06C78C-AC5A-4478-82E7-9E56FAF1FAB2}">
      <formula1>"Perform functionality testing as per test suite for various components/features in the scope,Perform regression testing of application,Track the usage of tools and reuse,"</formula1>
    </dataValidation>
    <dataValidation type="list" allowBlank="1" showInputMessage="1" showErrorMessage="1" sqref="D6 D7" xr:uid="{E40FB22A-1DEC-40EB-889E-9BBF6A6BEAB8}">
      <formula1>"TM:Application Knowledge Transfer / Training / Transition,TM:Architecture and High Level Design,TM:Change management/ Deployment,TM:Continuous improvements / Service improvements,TM:Defect Triaging and Tracking,TM:Deployment/ Post Implementation Warranty,TM:Guidance and Mentoring to lower JLs,TM:Impact analysis/Design,TM:Manage requirement/ change advisory board meetings,TM:Other Meetings,TM:Problem Management / RCA,TM:Requirements planning/ elicitation/ analysis,TM:Resource Onboarding &amp; infrastructure,TM:Review activities,TM:Test requirements gathering and analysis,TM:Test strategizing and planning,TM:Ticket Analysis and Resolution,TM:Ticket Initial Diagnosis,TM:User Acceptance Testing &amp; Support,"</formula1>
    </dataValidation>
    <dataValidation type="list" allowBlank="1" showInputMessage="1" showErrorMessage="1" sqref="E6" xr:uid="{3467FFBB-2842-4C25-8A03-A5153EC933DB}">
      <formula1>"Defect Triaging and Tracking,"</formula1>
    </dataValidation>
    <dataValidation type="list" allowBlank="1" showInputMessage="1" showErrorMessage="1" sqref="E7" xr:uid="{20D5E0F5-95CD-4DF4-8769-76D9F01B070D}">
      <formula1>"Requirements planning/ elicitation/ analysis,"</formula1>
    </dataValidation>
    <dataValidation type="list" allowBlank="1" showInputMessage="1" showErrorMessage="1" sqref="D8" xr:uid="{77CEC33D-3E25-4613-945C-7701531C1ED6}">
      <formula1>"Initiation,Pre-initiation,Release Sprint,Sprint Execution and Monitoring,Sprint Planning,Sprint Retrospective,"</formula1>
    </dataValidation>
    <dataValidation type="list" allowBlank="1" showInputMessage="1" showErrorMessage="1" sqref="E8" xr:uid="{879A4EBB-602D-40CF-94E2-AE375EEE17A4}">
      <formula1>"Pre-activities to sprint planning session,Develop sprint backlog,Create task breakdown and estimate tasks,"</formula1>
    </dataValidation>
    <dataValidation type="list" allowBlank="1" showInputMessage="1" showErrorMessage="1" sqref="D9" xr:uid="{CC6DE935-1E8B-4D80-8602-E04D2FF244FD}">
      <formula1>"Change management/ Deployment,Monitoring activities,Others,Ticket Creation/Assignment,Ticket Initial Diagnosis,Ticket Analysis and Resolution,Problem Management / RCA,Application Knowledge Transfer / Training / Transition,Continuous improvements / Service improvements,Ticket system updates/ Report generation and Analysis,Support activities - Patching/ Upgrades/ BCP/ Certificate renewals,Guidance and Mentoring to lower JLs,Resource Onboarding &amp; infrastructure,"</formula1>
    </dataValidation>
    <dataValidation type="list" allowBlank="1" showInputMessage="1" showErrorMessage="1" sqref="E9" xr:uid="{C4455A4E-C238-4E37-AAF7-AA2ACAA708FC}">
      <formula1>"Ticket analysis,Ticket resolution,"</formula1>
    </dataValidation>
    <dataValidation type="list" allowBlank="1" showInputMessage="1" showErrorMessage="1" sqref="E10" xr:uid="{A24CE249-FDBD-4CAE-9622-5109E802906C}">
      <formula1>"Prepare test cases for manual testing,Prepare test scripts for automated testing,Setup test environment/ Create test data and host it on test environment,Update RTM to ensure traceability (business requirements to test cases),Perform test readiness check using smoke test approach,"</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6115A-A81B-4572-ADF3-D7D277223D2C}">
  <sheetPr codeName="Sheet16">
    <tabColor theme="4"/>
  </sheetPr>
  <dimension ref="B2:C29"/>
  <sheetViews>
    <sheetView showGridLines="0" workbookViewId="0">
      <selection activeCell="B9" sqref="B9"/>
    </sheetView>
  </sheetViews>
  <sheetFormatPr defaultRowHeight="15" x14ac:dyDescent="0.25"/>
  <cols>
    <col min="1" max="1" width="3.140625" customWidth="1"/>
    <col min="2" max="2" width="72.28515625" bestFit="1" customWidth="1"/>
    <col min="3" max="3" width="17.7109375" customWidth="1"/>
  </cols>
  <sheetData>
    <row r="2" spans="2:3" x14ac:dyDescent="0.25">
      <c r="B2" t="s">
        <v>326</v>
      </c>
      <c r="C2" s="164">
        <f>Summary!C1</f>
        <v>1051586</v>
      </c>
    </row>
    <row r="3" spans="2:3" x14ac:dyDescent="0.25">
      <c r="B3" t="s">
        <v>327</v>
      </c>
      <c r="C3" s="164" t="str">
        <f>Summary!C2</f>
        <v>JL5</v>
      </c>
    </row>
    <row r="4" spans="2:3" x14ac:dyDescent="0.25">
      <c r="B4" s="161" t="s">
        <v>316</v>
      </c>
      <c r="C4" s="162" t="s">
        <v>317</v>
      </c>
    </row>
    <row r="5" spans="2:3" x14ac:dyDescent="0.25">
      <c r="B5" s="163" t="s">
        <v>318</v>
      </c>
      <c r="C5" s="35"/>
    </row>
    <row r="6" spans="2:3" x14ac:dyDescent="0.25">
      <c r="B6" s="163" t="s">
        <v>319</v>
      </c>
      <c r="C6" s="35"/>
    </row>
    <row r="7" spans="2:3" x14ac:dyDescent="0.25">
      <c r="B7" s="163" t="s">
        <v>320</v>
      </c>
      <c r="C7" s="35"/>
    </row>
    <row r="8" spans="2:3" x14ac:dyDescent="0.25">
      <c r="B8" s="163" t="s">
        <v>321</v>
      </c>
      <c r="C8" s="35"/>
    </row>
    <row r="9" spans="2:3" x14ac:dyDescent="0.25">
      <c r="B9" s="163" t="s">
        <v>322</v>
      </c>
      <c r="C9" s="35"/>
    </row>
    <row r="10" spans="2:3" x14ac:dyDescent="0.25">
      <c r="B10" s="163" t="s">
        <v>323</v>
      </c>
      <c r="C10" s="35"/>
    </row>
    <row r="11" spans="2:3" x14ac:dyDescent="0.25">
      <c r="B11" s="163" t="s">
        <v>324</v>
      </c>
      <c r="C11" s="35"/>
    </row>
    <row r="12" spans="2:3" x14ac:dyDescent="0.25">
      <c r="B12" s="163" t="s">
        <v>325</v>
      </c>
      <c r="C12" s="35"/>
    </row>
    <row r="13" spans="2:3" x14ac:dyDescent="0.25">
      <c r="B13" s="35"/>
      <c r="C13" s="35"/>
    </row>
    <row r="14" spans="2:3" x14ac:dyDescent="0.25">
      <c r="B14" s="35"/>
      <c r="C14" s="35"/>
    </row>
    <row r="15" spans="2:3" x14ac:dyDescent="0.25">
      <c r="B15" s="35"/>
      <c r="C15" s="35"/>
    </row>
    <row r="16" spans="2:3" x14ac:dyDescent="0.25">
      <c r="B16" s="35"/>
      <c r="C16" s="35"/>
    </row>
    <row r="17" spans="2:3" x14ac:dyDescent="0.25">
      <c r="B17" s="35"/>
      <c r="C17" s="35"/>
    </row>
    <row r="18" spans="2:3" x14ac:dyDescent="0.25">
      <c r="B18" s="35"/>
      <c r="C18" s="35"/>
    </row>
    <row r="19" spans="2:3" x14ac:dyDescent="0.25">
      <c r="B19" s="35"/>
      <c r="C19" s="35"/>
    </row>
    <row r="20" spans="2:3" x14ac:dyDescent="0.25">
      <c r="B20" s="35"/>
      <c r="C20" s="35"/>
    </row>
    <row r="21" spans="2:3" x14ac:dyDescent="0.25">
      <c r="B21" s="35"/>
      <c r="C21" s="35"/>
    </row>
    <row r="22" spans="2:3" x14ac:dyDescent="0.25">
      <c r="B22" s="35"/>
      <c r="C22" s="35"/>
    </row>
    <row r="23" spans="2:3" x14ac:dyDescent="0.25">
      <c r="B23" s="35"/>
      <c r="C23" s="35"/>
    </row>
    <row r="24" spans="2:3" x14ac:dyDescent="0.25">
      <c r="B24" s="35"/>
      <c r="C24" s="35"/>
    </row>
    <row r="25" spans="2:3" x14ac:dyDescent="0.25">
      <c r="B25" s="35"/>
      <c r="C25" s="35"/>
    </row>
    <row r="26" spans="2:3" x14ac:dyDescent="0.25">
      <c r="B26" s="35"/>
      <c r="C26" s="35"/>
    </row>
    <row r="27" spans="2:3" x14ac:dyDescent="0.25">
      <c r="B27" s="35"/>
      <c r="C27" s="35"/>
    </row>
    <row r="28" spans="2:3" x14ac:dyDescent="0.25">
      <c r="C28" s="35"/>
    </row>
    <row r="29" spans="2:3" x14ac:dyDescent="0.25">
      <c r="C29" s="35"/>
    </row>
  </sheetData>
  <sheetProtection algorithmName="SHA-512" hashValue="inPR9taJ2WUyR5as4TRbgOnRZnmQ6oPUY7touSpWh41LeNI9+bSxvYCQKqlIynYquP+i0MFi8bAcgqiOopAzyA==" saltValue="Ar5Qy3uFhqO29t8qKQ5oDg==" spinCount="100000"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599ED-4D37-4A74-8D41-137EF03327AF}">
  <sheetPr codeName="Sheet2"/>
  <dimension ref="A1:CS215"/>
  <sheetViews>
    <sheetView topLeftCell="A143" workbookViewId="0">
      <selection activeCell="C152" sqref="C152"/>
    </sheetView>
  </sheetViews>
  <sheetFormatPr defaultRowHeight="15" x14ac:dyDescent="0.25"/>
  <cols>
    <col min="2" max="2" width="12.7109375" bestFit="1" customWidth="1"/>
    <col min="3" max="3" width="57.140625" customWidth="1"/>
    <col min="4" max="4" width="84.28515625" bestFit="1" customWidth="1"/>
    <col min="5" max="66" width="39.140625" hidden="1" customWidth="1"/>
    <col min="67" max="67" width="44" hidden="1" customWidth="1"/>
    <col min="68" max="68" width="20.28515625" hidden="1" customWidth="1"/>
    <col min="69" max="70" width="9.140625" hidden="1" customWidth="1"/>
    <col min="71" max="71" width="57" hidden="1" customWidth="1"/>
    <col min="72" max="72" width="9.140625" hidden="1" customWidth="1"/>
    <col min="73" max="73" width="2.42578125" hidden="1" customWidth="1"/>
    <col min="74" max="74" width="57" hidden="1" customWidth="1"/>
    <col min="75" max="75" width="9.140625" hidden="1" customWidth="1"/>
    <col min="76" max="76" width="3.28515625" hidden="1" customWidth="1"/>
    <col min="77" max="77" width="57" hidden="1" customWidth="1"/>
    <col min="78" max="79" width="9.140625" hidden="1" customWidth="1"/>
    <col min="80" max="80" width="57" hidden="1" customWidth="1"/>
    <col min="81" max="82" width="9.140625" hidden="1" customWidth="1"/>
    <col min="83" max="83" width="57" hidden="1" customWidth="1"/>
    <col min="84" max="84" width="13.42578125" hidden="1" customWidth="1"/>
    <col min="85" max="90" width="9.140625" hidden="1" customWidth="1"/>
    <col min="91" max="91" width="57" hidden="1" customWidth="1"/>
    <col min="92" max="92" width="13.42578125" hidden="1" customWidth="1"/>
    <col min="93" max="94" width="9.140625" hidden="1" customWidth="1"/>
    <col min="95" max="95" width="50.85546875" hidden="1" customWidth="1"/>
    <col min="96" max="96" width="19.5703125" hidden="1" customWidth="1"/>
    <col min="97" max="98" width="0" hidden="1" customWidth="1"/>
  </cols>
  <sheetData>
    <row r="1" spans="1:97" hidden="1" x14ac:dyDescent="0.25">
      <c r="A1">
        <v>1</v>
      </c>
      <c r="B1">
        <v>2</v>
      </c>
      <c r="C1">
        <v>3</v>
      </c>
      <c r="D1">
        <v>4</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c r="BS1">
        <v>71</v>
      </c>
      <c r="BT1">
        <v>72</v>
      </c>
      <c r="BU1">
        <v>73</v>
      </c>
      <c r="BV1">
        <v>74</v>
      </c>
      <c r="BW1">
        <v>75</v>
      </c>
      <c r="BX1">
        <v>76</v>
      </c>
      <c r="BY1">
        <v>77</v>
      </c>
      <c r="BZ1">
        <v>78</v>
      </c>
      <c r="CA1">
        <v>79</v>
      </c>
      <c r="CD1">
        <v>82</v>
      </c>
      <c r="CE1">
        <v>83</v>
      </c>
      <c r="CF1">
        <v>84</v>
      </c>
      <c r="CG1">
        <f>CF1+1</f>
        <v>85</v>
      </c>
      <c r="CH1">
        <f t="shared" ref="CH1:CS1" si="0">CG1+1</f>
        <v>86</v>
      </c>
      <c r="CI1">
        <f t="shared" si="0"/>
        <v>87</v>
      </c>
      <c r="CJ1">
        <f t="shared" si="0"/>
        <v>88</v>
      </c>
      <c r="CK1">
        <f t="shared" si="0"/>
        <v>89</v>
      </c>
      <c r="CL1">
        <f t="shared" si="0"/>
        <v>90</v>
      </c>
      <c r="CM1">
        <f t="shared" si="0"/>
        <v>91</v>
      </c>
      <c r="CN1">
        <f t="shared" si="0"/>
        <v>92</v>
      </c>
      <c r="CO1">
        <f t="shared" si="0"/>
        <v>93</v>
      </c>
      <c r="CP1">
        <f t="shared" si="0"/>
        <v>94</v>
      </c>
      <c r="CQ1">
        <f t="shared" si="0"/>
        <v>95</v>
      </c>
      <c r="CR1">
        <f t="shared" si="0"/>
        <v>96</v>
      </c>
      <c r="CS1">
        <f t="shared" si="0"/>
        <v>97</v>
      </c>
    </row>
    <row r="2" spans="1:97" x14ac:dyDescent="0.25">
      <c r="A2" s="1" t="s">
        <v>0</v>
      </c>
      <c r="B2" s="1" t="s">
        <v>1</v>
      </c>
      <c r="C2" s="1" t="s">
        <v>2</v>
      </c>
      <c r="D2" s="1" t="s">
        <v>3</v>
      </c>
      <c r="E2" s="1" t="s">
        <v>196</v>
      </c>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S2" s="24" t="s">
        <v>1</v>
      </c>
      <c r="BT2" t="s">
        <v>4</v>
      </c>
      <c r="BV2" s="24" t="s">
        <v>1</v>
      </c>
      <c r="BW2" t="s">
        <v>5</v>
      </c>
      <c r="BY2" s="24" t="s">
        <v>1</v>
      </c>
      <c r="BZ2" t="s">
        <v>6</v>
      </c>
      <c r="CB2" s="24" t="s">
        <v>1</v>
      </c>
      <c r="CC2" t="s">
        <v>240</v>
      </c>
      <c r="CE2" s="24" t="s">
        <v>1</v>
      </c>
      <c r="CF2" t="s">
        <v>7</v>
      </c>
      <c r="CM2" s="24" t="s">
        <v>1</v>
      </c>
      <c r="CN2" t="s">
        <v>273</v>
      </c>
      <c r="CQ2" s="24" t="s">
        <v>1</v>
      </c>
      <c r="CR2" t="s">
        <v>334</v>
      </c>
    </row>
    <row r="3" spans="1:97" x14ac:dyDescent="0.25">
      <c r="A3" s="2">
        <v>1</v>
      </c>
      <c r="B3" t="s">
        <v>5</v>
      </c>
      <c r="C3" t="s">
        <v>186</v>
      </c>
      <c r="D3" t="s">
        <v>197</v>
      </c>
      <c r="CI3" t="s">
        <v>31</v>
      </c>
      <c r="CJ3">
        <v>22</v>
      </c>
    </row>
    <row r="4" spans="1:97" x14ac:dyDescent="0.25">
      <c r="A4" s="2">
        <v>2</v>
      </c>
      <c r="B4" t="s">
        <v>5</v>
      </c>
      <c r="C4" t="s">
        <v>186</v>
      </c>
      <c r="D4" t="s">
        <v>198</v>
      </c>
      <c r="BP4" s="24" t="s">
        <v>8</v>
      </c>
      <c r="BS4" s="24" t="s">
        <v>8</v>
      </c>
      <c r="BV4" s="24" t="s">
        <v>8</v>
      </c>
      <c r="BY4" s="24" t="s">
        <v>8</v>
      </c>
      <c r="CB4" s="24" t="s">
        <v>8</v>
      </c>
      <c r="CE4" s="24" t="s">
        <v>8</v>
      </c>
      <c r="CI4" t="s">
        <v>29</v>
      </c>
      <c r="CJ4">
        <v>8</v>
      </c>
      <c r="CM4" s="24" t="s">
        <v>8</v>
      </c>
      <c r="CQ4" s="24" t="s">
        <v>8</v>
      </c>
    </row>
    <row r="5" spans="1:97" x14ac:dyDescent="0.25">
      <c r="A5" s="2">
        <v>3</v>
      </c>
      <c r="B5" t="s">
        <v>5</v>
      </c>
      <c r="C5" t="s">
        <v>187</v>
      </c>
      <c r="D5" t="s">
        <v>199</v>
      </c>
      <c r="BP5" s="24" t="s">
        <v>1</v>
      </c>
      <c r="BQ5" t="s">
        <v>9</v>
      </c>
      <c r="BS5" s="24" t="s">
        <v>2</v>
      </c>
      <c r="BT5" t="s">
        <v>9</v>
      </c>
      <c r="BV5" s="24" t="s">
        <v>2</v>
      </c>
      <c r="BW5" t="s">
        <v>9</v>
      </c>
      <c r="BY5" s="24" t="s">
        <v>2</v>
      </c>
      <c r="BZ5" t="s">
        <v>9</v>
      </c>
      <c r="CB5" s="24" t="s">
        <v>2</v>
      </c>
      <c r="CC5" t="s">
        <v>9</v>
      </c>
      <c r="CE5" s="24" t="s">
        <v>2</v>
      </c>
      <c r="CF5" t="s">
        <v>9</v>
      </c>
      <c r="CI5" t="s">
        <v>32</v>
      </c>
      <c r="CJ5">
        <v>1</v>
      </c>
      <c r="CM5" s="24" t="s">
        <v>2</v>
      </c>
      <c r="CN5" t="s">
        <v>9</v>
      </c>
      <c r="CQ5" s="24" t="s">
        <v>2</v>
      </c>
      <c r="CR5" t="s">
        <v>9</v>
      </c>
      <c r="CS5" s="24"/>
    </row>
    <row r="6" spans="1:97" x14ac:dyDescent="0.25">
      <c r="A6" s="2">
        <v>4</v>
      </c>
      <c r="B6" t="s">
        <v>5</v>
      </c>
      <c r="C6" t="s">
        <v>188</v>
      </c>
      <c r="D6" s="105" t="s">
        <v>200</v>
      </c>
      <c r="BP6" t="s">
        <v>4</v>
      </c>
      <c r="BQ6" s="104">
        <v>47</v>
      </c>
      <c r="BS6" t="s">
        <v>104</v>
      </c>
      <c r="BT6" s="104">
        <v>6</v>
      </c>
      <c r="BV6" t="s">
        <v>103</v>
      </c>
      <c r="BW6" s="104">
        <v>5</v>
      </c>
      <c r="BY6" t="s">
        <v>13</v>
      </c>
      <c r="BZ6" s="104">
        <v>5</v>
      </c>
      <c r="CB6" t="s">
        <v>241</v>
      </c>
      <c r="CC6" s="104">
        <v>1</v>
      </c>
      <c r="CE6" t="s">
        <v>56</v>
      </c>
      <c r="CF6" s="104">
        <v>5</v>
      </c>
      <c r="CI6" t="s">
        <v>28</v>
      </c>
      <c r="CJ6">
        <v>0.3</v>
      </c>
      <c r="CM6" t="s">
        <v>300</v>
      </c>
      <c r="CN6" s="104">
        <v>6</v>
      </c>
      <c r="CQ6" t="s">
        <v>352</v>
      </c>
      <c r="CR6" s="104">
        <v>1</v>
      </c>
    </row>
    <row r="7" spans="1:97" x14ac:dyDescent="0.25">
      <c r="A7" s="2">
        <v>5</v>
      </c>
      <c r="B7" t="s">
        <v>5</v>
      </c>
      <c r="C7" t="s">
        <v>188</v>
      </c>
      <c r="D7" s="105" t="s">
        <v>201</v>
      </c>
      <c r="BP7" t="s">
        <v>5</v>
      </c>
      <c r="BQ7" s="104">
        <v>30</v>
      </c>
      <c r="BS7" t="s">
        <v>178</v>
      </c>
      <c r="BT7" s="104"/>
      <c r="BV7" t="s">
        <v>105</v>
      </c>
      <c r="BW7" s="104">
        <v>3</v>
      </c>
      <c r="BY7" t="s">
        <v>51</v>
      </c>
      <c r="BZ7" s="104">
        <v>3</v>
      </c>
      <c r="CB7" t="s">
        <v>248</v>
      </c>
      <c r="CC7" s="104">
        <v>1</v>
      </c>
      <c r="CE7" t="s">
        <v>335</v>
      </c>
      <c r="CF7" s="104">
        <v>4</v>
      </c>
      <c r="CI7" t="s">
        <v>168</v>
      </c>
      <c r="CJ7">
        <v>4</v>
      </c>
      <c r="CM7" t="s">
        <v>299</v>
      </c>
      <c r="CN7" s="104">
        <v>3</v>
      </c>
      <c r="CQ7" t="s">
        <v>339</v>
      </c>
      <c r="CR7" s="104">
        <v>1</v>
      </c>
    </row>
    <row r="8" spans="1:97" x14ac:dyDescent="0.25">
      <c r="A8" s="2">
        <v>6</v>
      </c>
      <c r="B8" t="s">
        <v>5</v>
      </c>
      <c r="C8" t="s">
        <v>250</v>
      </c>
      <c r="D8" t="s">
        <v>243</v>
      </c>
      <c r="BP8" t="s">
        <v>7</v>
      </c>
      <c r="BQ8" s="104">
        <v>53</v>
      </c>
      <c r="BS8" t="s">
        <v>251</v>
      </c>
      <c r="BT8" s="104">
        <v>7</v>
      </c>
      <c r="BV8" t="s">
        <v>178</v>
      </c>
      <c r="BW8" s="104"/>
      <c r="BY8" t="s">
        <v>12</v>
      </c>
      <c r="BZ8" s="104">
        <v>7</v>
      </c>
      <c r="CB8" t="s">
        <v>178</v>
      </c>
      <c r="CC8" s="104"/>
      <c r="CE8" t="s">
        <v>183</v>
      </c>
      <c r="CF8" s="104">
        <v>4</v>
      </c>
      <c r="CI8" t="s">
        <v>169</v>
      </c>
      <c r="CJ8">
        <v>2</v>
      </c>
      <c r="CM8" t="s">
        <v>304</v>
      </c>
      <c r="CN8" s="104">
        <v>4</v>
      </c>
      <c r="CQ8" t="s">
        <v>354</v>
      </c>
      <c r="CR8" s="104">
        <v>1</v>
      </c>
    </row>
    <row r="9" spans="1:97" x14ac:dyDescent="0.25">
      <c r="A9" s="2">
        <v>7</v>
      </c>
      <c r="B9" t="s">
        <v>5</v>
      </c>
      <c r="C9" t="s">
        <v>250</v>
      </c>
      <c r="D9" t="s">
        <v>202</v>
      </c>
      <c r="BP9" t="s">
        <v>6</v>
      </c>
      <c r="BQ9" s="104">
        <v>27</v>
      </c>
      <c r="BS9" t="s">
        <v>193</v>
      </c>
      <c r="BT9" s="104">
        <v>7</v>
      </c>
      <c r="BV9" t="s">
        <v>186</v>
      </c>
      <c r="BW9" s="104">
        <v>2</v>
      </c>
      <c r="BY9" t="s">
        <v>41</v>
      </c>
      <c r="BZ9" s="104">
        <v>5</v>
      </c>
      <c r="CB9" t="s">
        <v>256</v>
      </c>
      <c r="CC9" s="104">
        <v>1</v>
      </c>
      <c r="CE9" t="s">
        <v>86</v>
      </c>
      <c r="CF9" s="104">
        <v>4</v>
      </c>
      <c r="CM9" t="s">
        <v>302</v>
      </c>
      <c r="CN9" s="104">
        <v>10</v>
      </c>
      <c r="CQ9" t="s">
        <v>353</v>
      </c>
      <c r="CR9" s="104">
        <v>1</v>
      </c>
    </row>
    <row r="10" spans="1:97" x14ac:dyDescent="0.25">
      <c r="A10" s="2">
        <v>8</v>
      </c>
      <c r="B10" t="s">
        <v>5</v>
      </c>
      <c r="C10" t="s">
        <v>250</v>
      </c>
      <c r="D10" t="s">
        <v>203</v>
      </c>
      <c r="BP10" t="s">
        <v>240</v>
      </c>
      <c r="BQ10" s="104">
        <v>5</v>
      </c>
      <c r="BS10" t="s">
        <v>194</v>
      </c>
      <c r="BT10" s="104">
        <v>5</v>
      </c>
      <c r="BV10" t="s">
        <v>187</v>
      </c>
      <c r="BW10" s="104">
        <v>1</v>
      </c>
      <c r="BY10" t="s">
        <v>178</v>
      </c>
      <c r="BZ10" s="104"/>
      <c r="CB10" t="s">
        <v>242</v>
      </c>
      <c r="CC10" s="104">
        <v>1</v>
      </c>
      <c r="CE10" t="s">
        <v>76</v>
      </c>
      <c r="CF10" s="104">
        <v>4</v>
      </c>
      <c r="CM10" t="s">
        <v>301</v>
      </c>
      <c r="CN10" s="104">
        <v>3</v>
      </c>
      <c r="CQ10" t="s">
        <v>345</v>
      </c>
      <c r="CR10" s="104">
        <v>1</v>
      </c>
    </row>
    <row r="11" spans="1:97" x14ac:dyDescent="0.25">
      <c r="A11" s="2">
        <v>9</v>
      </c>
      <c r="B11" t="s">
        <v>5</v>
      </c>
      <c r="C11" t="s">
        <v>189</v>
      </c>
      <c r="D11" t="s">
        <v>204</v>
      </c>
      <c r="BP11" t="s">
        <v>273</v>
      </c>
      <c r="BQ11" s="104">
        <v>27</v>
      </c>
      <c r="BS11" t="s">
        <v>253</v>
      </c>
      <c r="BT11" s="104">
        <v>4</v>
      </c>
      <c r="BV11" t="s">
        <v>188</v>
      </c>
      <c r="BW11" s="104">
        <v>2</v>
      </c>
      <c r="BY11" t="s">
        <v>195</v>
      </c>
      <c r="BZ11" s="104">
        <v>4</v>
      </c>
      <c r="CB11" t="s">
        <v>369</v>
      </c>
      <c r="CC11" s="104">
        <v>1</v>
      </c>
      <c r="CE11" t="s">
        <v>81</v>
      </c>
      <c r="CF11" s="104">
        <v>4</v>
      </c>
      <c r="CM11" t="s">
        <v>303</v>
      </c>
      <c r="CN11" s="104">
        <v>1</v>
      </c>
      <c r="CQ11" t="s">
        <v>342</v>
      </c>
      <c r="CR11" s="104">
        <v>1</v>
      </c>
    </row>
    <row r="12" spans="1:97" x14ac:dyDescent="0.25">
      <c r="A12" s="2">
        <v>10</v>
      </c>
      <c r="B12" t="s">
        <v>5</v>
      </c>
      <c r="C12" t="s">
        <v>189</v>
      </c>
      <c r="D12" t="s">
        <v>205</v>
      </c>
      <c r="BP12" t="s">
        <v>334</v>
      </c>
      <c r="BQ12" s="104">
        <v>18</v>
      </c>
      <c r="BS12" t="s">
        <v>252</v>
      </c>
      <c r="BT12" s="104">
        <v>3</v>
      </c>
      <c r="BV12" t="s">
        <v>189</v>
      </c>
      <c r="BW12" s="104">
        <v>2</v>
      </c>
      <c r="BY12" t="s">
        <v>236</v>
      </c>
      <c r="BZ12" s="104">
        <v>1</v>
      </c>
      <c r="CE12" t="s">
        <v>63</v>
      </c>
      <c r="CF12" s="104">
        <v>4</v>
      </c>
      <c r="CQ12" t="s">
        <v>350</v>
      </c>
      <c r="CR12" s="104">
        <v>1</v>
      </c>
    </row>
    <row r="13" spans="1:97" x14ac:dyDescent="0.25">
      <c r="A13" s="2">
        <v>11</v>
      </c>
      <c r="B13" t="s">
        <v>5</v>
      </c>
      <c r="C13" t="s">
        <v>105</v>
      </c>
      <c r="D13" t="s">
        <v>106</v>
      </c>
      <c r="BS13" t="s">
        <v>328</v>
      </c>
      <c r="BT13" s="104">
        <v>7</v>
      </c>
      <c r="BV13" t="s">
        <v>190</v>
      </c>
      <c r="BW13" s="104">
        <v>1</v>
      </c>
      <c r="BY13" t="s">
        <v>237</v>
      </c>
      <c r="BZ13" s="104">
        <v>2</v>
      </c>
      <c r="CE13" t="s">
        <v>73</v>
      </c>
      <c r="CF13" s="104">
        <v>3</v>
      </c>
      <c r="CQ13" t="s">
        <v>340</v>
      </c>
      <c r="CR13" s="104">
        <v>1</v>
      </c>
    </row>
    <row r="14" spans="1:97" x14ac:dyDescent="0.25">
      <c r="A14" s="2">
        <v>12</v>
      </c>
      <c r="B14" t="s">
        <v>5</v>
      </c>
      <c r="C14" t="s">
        <v>105</v>
      </c>
      <c r="D14" t="s">
        <v>206</v>
      </c>
      <c r="BS14" t="s">
        <v>329</v>
      </c>
      <c r="BT14" s="104">
        <v>8</v>
      </c>
      <c r="BV14" t="s">
        <v>191</v>
      </c>
      <c r="BW14" s="104">
        <v>2</v>
      </c>
      <c r="CE14" t="s">
        <v>99</v>
      </c>
      <c r="CF14" s="104">
        <v>3</v>
      </c>
      <c r="CQ14" t="s">
        <v>343</v>
      </c>
      <c r="CR14" s="104">
        <v>1</v>
      </c>
    </row>
    <row r="15" spans="1:97" x14ac:dyDescent="0.25">
      <c r="A15" s="2">
        <v>13</v>
      </c>
      <c r="B15" t="s">
        <v>5</v>
      </c>
      <c r="C15" t="s">
        <v>105</v>
      </c>
      <c r="D15" t="s">
        <v>107</v>
      </c>
      <c r="BV15" t="s">
        <v>250</v>
      </c>
      <c r="BW15" s="104">
        <v>3</v>
      </c>
      <c r="CE15" t="s">
        <v>255</v>
      </c>
      <c r="CF15" s="104">
        <v>3</v>
      </c>
      <c r="CQ15" t="s">
        <v>356</v>
      </c>
      <c r="CR15" s="104"/>
    </row>
    <row r="16" spans="1:97" x14ac:dyDescent="0.25">
      <c r="A16" s="2">
        <v>14</v>
      </c>
      <c r="B16" t="s">
        <v>5</v>
      </c>
      <c r="C16" t="s">
        <v>234</v>
      </c>
      <c r="D16" t="s">
        <v>108</v>
      </c>
      <c r="BV16" t="s">
        <v>234</v>
      </c>
      <c r="BW16" s="104">
        <v>5</v>
      </c>
      <c r="CE16" t="s">
        <v>93</v>
      </c>
      <c r="CF16" s="104">
        <v>3</v>
      </c>
      <c r="CQ16" t="s">
        <v>351</v>
      </c>
      <c r="CR16" s="104">
        <v>1</v>
      </c>
    </row>
    <row r="17" spans="1:96" x14ac:dyDescent="0.25">
      <c r="A17" s="2">
        <v>15</v>
      </c>
      <c r="B17" t="s">
        <v>5</v>
      </c>
      <c r="C17" t="s">
        <v>234</v>
      </c>
      <c r="D17" t="s">
        <v>109</v>
      </c>
      <c r="BV17" t="s">
        <v>235</v>
      </c>
      <c r="BW17" s="104">
        <v>2</v>
      </c>
      <c r="CE17" t="s">
        <v>254</v>
      </c>
      <c r="CF17" s="104">
        <v>3</v>
      </c>
      <c r="CQ17" t="s">
        <v>338</v>
      </c>
      <c r="CR17" s="104">
        <v>1</v>
      </c>
    </row>
    <row r="18" spans="1:96" x14ac:dyDescent="0.25">
      <c r="A18" s="2">
        <v>16</v>
      </c>
      <c r="B18" t="s">
        <v>5</v>
      </c>
      <c r="C18" t="s">
        <v>234</v>
      </c>
      <c r="D18" t="s">
        <v>110</v>
      </c>
      <c r="BV18" t="s">
        <v>274</v>
      </c>
      <c r="BW18" s="104">
        <v>2</v>
      </c>
      <c r="CE18" t="s">
        <v>11</v>
      </c>
      <c r="CF18" s="104">
        <v>3</v>
      </c>
      <c r="CQ18" t="s">
        <v>355</v>
      </c>
      <c r="CR18" s="104">
        <v>1</v>
      </c>
    </row>
    <row r="19" spans="1:96" x14ac:dyDescent="0.25">
      <c r="A19" s="2">
        <v>17</v>
      </c>
      <c r="B19" t="s">
        <v>5</v>
      </c>
      <c r="C19" t="s">
        <v>234</v>
      </c>
      <c r="D19" t="s">
        <v>111</v>
      </c>
      <c r="CE19" t="s">
        <v>184</v>
      </c>
      <c r="CF19" s="104">
        <v>2</v>
      </c>
      <c r="CQ19" t="s">
        <v>346</v>
      </c>
      <c r="CR19" s="104">
        <v>1</v>
      </c>
    </row>
    <row r="20" spans="1:96" x14ac:dyDescent="0.25">
      <c r="A20" s="2">
        <v>18</v>
      </c>
      <c r="B20" t="s">
        <v>5</v>
      </c>
      <c r="C20" t="s">
        <v>234</v>
      </c>
      <c r="D20" t="s">
        <v>112</v>
      </c>
      <c r="CE20" t="s">
        <v>332</v>
      </c>
      <c r="CF20" s="104">
        <v>1</v>
      </c>
      <c r="CQ20" t="s">
        <v>347</v>
      </c>
      <c r="CR20" s="104">
        <v>1</v>
      </c>
    </row>
    <row r="21" spans="1:96" x14ac:dyDescent="0.25">
      <c r="A21" s="2">
        <v>19</v>
      </c>
      <c r="B21" t="s">
        <v>5</v>
      </c>
      <c r="C21" t="s">
        <v>103</v>
      </c>
      <c r="D21" t="s">
        <v>113</v>
      </c>
      <c r="CE21" t="s">
        <v>181</v>
      </c>
      <c r="CF21" s="104">
        <v>1</v>
      </c>
      <c r="CQ21" t="s">
        <v>344</v>
      </c>
      <c r="CR21" s="104">
        <v>1</v>
      </c>
    </row>
    <row r="22" spans="1:96" x14ac:dyDescent="0.25">
      <c r="A22" s="2">
        <v>20</v>
      </c>
      <c r="B22" t="s">
        <v>5</v>
      </c>
      <c r="C22" t="s">
        <v>103</v>
      </c>
      <c r="D22" t="s">
        <v>114</v>
      </c>
      <c r="CE22" t="s">
        <v>238</v>
      </c>
      <c r="CF22" s="104">
        <v>1</v>
      </c>
      <c r="CQ22" t="s">
        <v>349</v>
      </c>
      <c r="CR22" s="104">
        <v>1</v>
      </c>
    </row>
    <row r="23" spans="1:96" x14ac:dyDescent="0.25">
      <c r="A23" s="2">
        <v>21</v>
      </c>
      <c r="B23" t="s">
        <v>5</v>
      </c>
      <c r="C23" t="s">
        <v>103</v>
      </c>
      <c r="D23" t="s">
        <v>115</v>
      </c>
      <c r="CE23" t="s">
        <v>97</v>
      </c>
      <c r="CF23" s="104">
        <v>1</v>
      </c>
      <c r="CQ23" t="s">
        <v>348</v>
      </c>
      <c r="CR23" s="104">
        <v>1</v>
      </c>
    </row>
    <row r="24" spans="1:96" x14ac:dyDescent="0.25">
      <c r="A24" s="2">
        <v>22</v>
      </c>
      <c r="B24" t="s">
        <v>5</v>
      </c>
      <c r="C24" t="s">
        <v>103</v>
      </c>
      <c r="D24" t="s">
        <v>116</v>
      </c>
      <c r="CE24" t="s">
        <v>178</v>
      </c>
      <c r="CF24" s="104"/>
      <c r="CQ24" t="s">
        <v>341</v>
      </c>
      <c r="CR24" s="104">
        <v>1</v>
      </c>
    </row>
    <row r="25" spans="1:96" x14ac:dyDescent="0.25">
      <c r="A25" s="2">
        <v>23</v>
      </c>
      <c r="B25" t="s">
        <v>5</v>
      </c>
      <c r="C25" t="s">
        <v>103</v>
      </c>
      <c r="D25" t="s">
        <v>117</v>
      </c>
    </row>
    <row r="26" spans="1:96" x14ac:dyDescent="0.25">
      <c r="A26" s="2">
        <v>24</v>
      </c>
      <c r="B26" t="s">
        <v>5</v>
      </c>
      <c r="C26" t="s">
        <v>235</v>
      </c>
      <c r="D26" t="s">
        <v>207</v>
      </c>
    </row>
    <row r="27" spans="1:96" x14ac:dyDescent="0.25">
      <c r="A27" s="2">
        <v>25</v>
      </c>
      <c r="B27" t="s">
        <v>5</v>
      </c>
      <c r="C27" t="s">
        <v>235</v>
      </c>
      <c r="D27" t="s">
        <v>118</v>
      </c>
    </row>
    <row r="28" spans="1:96" x14ac:dyDescent="0.25">
      <c r="A28" s="2">
        <v>26</v>
      </c>
      <c r="B28" t="s">
        <v>5</v>
      </c>
      <c r="C28" t="s">
        <v>190</v>
      </c>
      <c r="D28" t="s">
        <v>10</v>
      </c>
    </row>
    <row r="29" spans="1:96" x14ac:dyDescent="0.25">
      <c r="A29" s="2">
        <v>27</v>
      </c>
      <c r="B29" t="s">
        <v>5</v>
      </c>
      <c r="C29" t="s">
        <v>191</v>
      </c>
      <c r="D29" t="s">
        <v>208</v>
      </c>
    </row>
    <row r="30" spans="1:96" x14ac:dyDescent="0.25">
      <c r="A30" s="2">
        <v>28</v>
      </c>
      <c r="B30" t="s">
        <v>5</v>
      </c>
      <c r="C30" t="s">
        <v>191</v>
      </c>
      <c r="D30" t="s">
        <v>120</v>
      </c>
    </row>
    <row r="31" spans="1:96" x14ac:dyDescent="0.25">
      <c r="A31" s="2">
        <v>29</v>
      </c>
      <c r="B31" t="s">
        <v>5</v>
      </c>
      <c r="C31" t="s">
        <v>178</v>
      </c>
    </row>
    <row r="32" spans="1:96" x14ac:dyDescent="0.25">
      <c r="A32" s="2">
        <v>30</v>
      </c>
      <c r="B32" t="s">
        <v>4</v>
      </c>
      <c r="C32" t="s">
        <v>251</v>
      </c>
      <c r="D32" t="s">
        <v>209</v>
      </c>
    </row>
    <row r="33" spans="1:4" x14ac:dyDescent="0.25">
      <c r="A33" s="2">
        <v>31</v>
      </c>
      <c r="B33" t="s">
        <v>4</v>
      </c>
      <c r="C33" t="s">
        <v>251</v>
      </c>
      <c r="D33" t="s">
        <v>192</v>
      </c>
    </row>
    <row r="34" spans="1:4" x14ac:dyDescent="0.25">
      <c r="A34" s="2">
        <v>32</v>
      </c>
      <c r="B34" t="s">
        <v>4</v>
      </c>
      <c r="C34" t="s">
        <v>251</v>
      </c>
      <c r="D34" t="s">
        <v>121</v>
      </c>
    </row>
    <row r="35" spans="1:4" x14ac:dyDescent="0.25">
      <c r="A35" s="2">
        <v>33</v>
      </c>
      <c r="B35" t="s">
        <v>4</v>
      </c>
      <c r="C35" t="s">
        <v>251</v>
      </c>
      <c r="D35" t="s">
        <v>122</v>
      </c>
    </row>
    <row r="36" spans="1:4" x14ac:dyDescent="0.25">
      <c r="A36" s="2">
        <v>34</v>
      </c>
      <c r="B36" t="s">
        <v>4</v>
      </c>
      <c r="C36" t="s">
        <v>251</v>
      </c>
      <c r="D36" t="s">
        <v>123</v>
      </c>
    </row>
    <row r="37" spans="1:4" x14ac:dyDescent="0.25">
      <c r="A37" s="2">
        <v>35</v>
      </c>
      <c r="B37" t="s">
        <v>4</v>
      </c>
      <c r="C37" t="s">
        <v>251</v>
      </c>
      <c r="D37" t="s">
        <v>124</v>
      </c>
    </row>
    <row r="38" spans="1:4" x14ac:dyDescent="0.25">
      <c r="A38" s="2">
        <v>36</v>
      </c>
      <c r="B38" t="s">
        <v>4</v>
      </c>
      <c r="C38" t="s">
        <v>251</v>
      </c>
      <c r="D38" t="s">
        <v>125</v>
      </c>
    </row>
    <row r="39" spans="1:4" x14ac:dyDescent="0.25">
      <c r="A39" s="2">
        <v>37</v>
      </c>
      <c r="B39" t="s">
        <v>4</v>
      </c>
      <c r="C39" t="s">
        <v>104</v>
      </c>
      <c r="D39" t="s">
        <v>126</v>
      </c>
    </row>
    <row r="40" spans="1:4" x14ac:dyDescent="0.25">
      <c r="A40" s="2">
        <v>38</v>
      </c>
      <c r="B40" t="s">
        <v>4</v>
      </c>
      <c r="C40" t="s">
        <v>104</v>
      </c>
      <c r="D40" t="s">
        <v>127</v>
      </c>
    </row>
    <row r="41" spans="1:4" x14ac:dyDescent="0.25">
      <c r="A41" s="2">
        <v>39</v>
      </c>
      <c r="B41" t="s">
        <v>4</v>
      </c>
      <c r="C41" t="s">
        <v>104</v>
      </c>
      <c r="D41" t="s">
        <v>128</v>
      </c>
    </row>
    <row r="42" spans="1:4" x14ac:dyDescent="0.25">
      <c r="A42" s="2">
        <v>40</v>
      </c>
      <c r="B42" t="s">
        <v>4</v>
      </c>
      <c r="C42" t="s">
        <v>104</v>
      </c>
      <c r="D42" t="s">
        <v>129</v>
      </c>
    </row>
    <row r="43" spans="1:4" x14ac:dyDescent="0.25">
      <c r="A43" s="2">
        <v>41</v>
      </c>
      <c r="B43" t="s">
        <v>4</v>
      </c>
      <c r="C43" t="s">
        <v>104</v>
      </c>
      <c r="D43" t="s">
        <v>130</v>
      </c>
    </row>
    <row r="44" spans="1:4" x14ac:dyDescent="0.25">
      <c r="A44" s="2">
        <v>42</v>
      </c>
      <c r="B44" t="s">
        <v>4</v>
      </c>
      <c r="C44" t="s">
        <v>104</v>
      </c>
      <c r="D44" t="s">
        <v>131</v>
      </c>
    </row>
    <row r="45" spans="1:4" x14ac:dyDescent="0.25">
      <c r="A45" s="2">
        <v>43</v>
      </c>
      <c r="B45" t="s">
        <v>4</v>
      </c>
      <c r="C45" t="s">
        <v>193</v>
      </c>
      <c r="D45" t="s">
        <v>132</v>
      </c>
    </row>
    <row r="46" spans="1:4" x14ac:dyDescent="0.25">
      <c r="A46" s="2">
        <v>44</v>
      </c>
      <c r="B46" t="s">
        <v>4</v>
      </c>
      <c r="C46" t="s">
        <v>193</v>
      </c>
      <c r="D46" t="s">
        <v>133</v>
      </c>
    </row>
    <row r="47" spans="1:4" x14ac:dyDescent="0.25">
      <c r="A47" s="2">
        <v>45</v>
      </c>
      <c r="B47" t="s">
        <v>4</v>
      </c>
      <c r="C47" t="s">
        <v>193</v>
      </c>
      <c r="D47" t="s">
        <v>134</v>
      </c>
    </row>
    <row r="48" spans="1:4" x14ac:dyDescent="0.25">
      <c r="A48" s="2">
        <v>46</v>
      </c>
      <c r="B48" t="s">
        <v>4</v>
      </c>
      <c r="C48" t="s">
        <v>193</v>
      </c>
      <c r="D48" t="s">
        <v>135</v>
      </c>
    </row>
    <row r="49" spans="1:4" x14ac:dyDescent="0.25">
      <c r="A49" s="2">
        <v>47</v>
      </c>
      <c r="B49" t="s">
        <v>4</v>
      </c>
      <c r="C49" t="s">
        <v>193</v>
      </c>
      <c r="D49" t="s">
        <v>136</v>
      </c>
    </row>
    <row r="50" spans="1:4" x14ac:dyDescent="0.25">
      <c r="A50" s="2">
        <v>48</v>
      </c>
      <c r="B50" t="s">
        <v>4</v>
      </c>
      <c r="C50" t="s">
        <v>193</v>
      </c>
      <c r="D50" t="s">
        <v>137</v>
      </c>
    </row>
    <row r="51" spans="1:4" x14ac:dyDescent="0.25">
      <c r="A51" s="2">
        <v>49</v>
      </c>
      <c r="B51" t="s">
        <v>4</v>
      </c>
      <c r="C51" t="s">
        <v>193</v>
      </c>
      <c r="D51" t="s">
        <v>138</v>
      </c>
    </row>
    <row r="52" spans="1:4" x14ac:dyDescent="0.25">
      <c r="A52" s="2">
        <v>50</v>
      </c>
      <c r="B52" t="s">
        <v>4</v>
      </c>
      <c r="C52" s="165" t="s">
        <v>328</v>
      </c>
      <c r="D52" t="s">
        <v>139</v>
      </c>
    </row>
    <row r="53" spans="1:4" x14ac:dyDescent="0.25">
      <c r="A53" s="2">
        <v>51</v>
      </c>
      <c r="B53" t="s">
        <v>4</v>
      </c>
      <c r="C53" s="165" t="s">
        <v>328</v>
      </c>
      <c r="D53" t="s">
        <v>140</v>
      </c>
    </row>
    <row r="54" spans="1:4" x14ac:dyDescent="0.25">
      <c r="A54" s="2">
        <v>52</v>
      </c>
      <c r="B54" t="s">
        <v>4</v>
      </c>
      <c r="C54" s="165" t="s">
        <v>328</v>
      </c>
      <c r="D54" t="s">
        <v>141</v>
      </c>
    </row>
    <row r="55" spans="1:4" x14ac:dyDescent="0.25">
      <c r="A55" s="2">
        <v>53</v>
      </c>
      <c r="B55" t="s">
        <v>4</v>
      </c>
      <c r="C55" s="165" t="s">
        <v>328</v>
      </c>
      <c r="D55" t="s">
        <v>142</v>
      </c>
    </row>
    <row r="56" spans="1:4" x14ac:dyDescent="0.25">
      <c r="A56" s="2">
        <v>54</v>
      </c>
      <c r="B56" t="s">
        <v>4</v>
      </c>
      <c r="C56" s="165" t="s">
        <v>328</v>
      </c>
      <c r="D56" t="s">
        <v>143</v>
      </c>
    </row>
    <row r="57" spans="1:4" x14ac:dyDescent="0.25">
      <c r="A57" s="2">
        <v>55</v>
      </c>
      <c r="B57" t="s">
        <v>4</v>
      </c>
      <c r="C57" s="165" t="s">
        <v>328</v>
      </c>
      <c r="D57" t="s">
        <v>144</v>
      </c>
    </row>
    <row r="58" spans="1:4" x14ac:dyDescent="0.25">
      <c r="A58" s="2">
        <v>56</v>
      </c>
      <c r="B58" t="s">
        <v>4</v>
      </c>
      <c r="C58" s="165" t="s">
        <v>328</v>
      </c>
      <c r="D58" t="s">
        <v>145</v>
      </c>
    </row>
    <row r="59" spans="1:4" x14ac:dyDescent="0.25">
      <c r="A59" s="2">
        <v>57</v>
      </c>
      <c r="B59" t="s">
        <v>4</v>
      </c>
      <c r="C59" t="s">
        <v>194</v>
      </c>
      <c r="D59" t="s">
        <v>146</v>
      </c>
    </row>
    <row r="60" spans="1:4" x14ac:dyDescent="0.25">
      <c r="A60" s="2">
        <v>58</v>
      </c>
      <c r="B60" t="s">
        <v>4</v>
      </c>
      <c r="C60" t="s">
        <v>194</v>
      </c>
      <c r="D60" t="s">
        <v>147</v>
      </c>
    </row>
    <row r="61" spans="1:4" x14ac:dyDescent="0.25">
      <c r="A61" s="2">
        <v>59</v>
      </c>
      <c r="B61" t="s">
        <v>4</v>
      </c>
      <c r="C61" t="s">
        <v>194</v>
      </c>
      <c r="D61" t="s">
        <v>148</v>
      </c>
    </row>
    <row r="62" spans="1:4" x14ac:dyDescent="0.25">
      <c r="A62" s="2">
        <v>60</v>
      </c>
      <c r="B62" t="s">
        <v>4</v>
      </c>
      <c r="C62" t="s">
        <v>194</v>
      </c>
      <c r="D62" t="s">
        <v>149</v>
      </c>
    </row>
    <row r="63" spans="1:4" x14ac:dyDescent="0.25">
      <c r="A63" s="2">
        <v>61</v>
      </c>
      <c r="B63" t="s">
        <v>4</v>
      </c>
      <c r="C63" t="s">
        <v>194</v>
      </c>
      <c r="D63" t="s">
        <v>150</v>
      </c>
    </row>
    <row r="64" spans="1:4" x14ac:dyDescent="0.25">
      <c r="A64" s="2">
        <v>62</v>
      </c>
      <c r="B64" t="s">
        <v>4</v>
      </c>
      <c r="C64" t="s">
        <v>252</v>
      </c>
      <c r="D64" t="s">
        <v>113</v>
      </c>
    </row>
    <row r="65" spans="1:4" x14ac:dyDescent="0.25">
      <c r="A65" s="2">
        <v>63</v>
      </c>
      <c r="B65" t="s">
        <v>4</v>
      </c>
      <c r="C65" t="s">
        <v>252</v>
      </c>
      <c r="D65" t="s">
        <v>114</v>
      </c>
    </row>
    <row r="66" spans="1:4" x14ac:dyDescent="0.25">
      <c r="A66" s="2">
        <v>64</v>
      </c>
      <c r="B66" t="s">
        <v>4</v>
      </c>
      <c r="C66" t="s">
        <v>252</v>
      </c>
      <c r="D66" t="s">
        <v>155</v>
      </c>
    </row>
    <row r="67" spans="1:4" x14ac:dyDescent="0.25">
      <c r="A67" s="2">
        <v>65</v>
      </c>
      <c r="B67" t="s">
        <v>4</v>
      </c>
      <c r="C67" s="166" t="s">
        <v>329</v>
      </c>
      <c r="D67" t="s">
        <v>222</v>
      </c>
    </row>
    <row r="68" spans="1:4" x14ac:dyDescent="0.25">
      <c r="A68" s="2">
        <v>66</v>
      </c>
      <c r="B68" t="s">
        <v>4</v>
      </c>
      <c r="C68" s="166" t="s">
        <v>329</v>
      </c>
      <c r="D68" t="s">
        <v>151</v>
      </c>
    </row>
    <row r="69" spans="1:4" x14ac:dyDescent="0.25">
      <c r="A69" s="2">
        <v>67</v>
      </c>
      <c r="B69" t="s">
        <v>4</v>
      </c>
      <c r="C69" s="166" t="s">
        <v>329</v>
      </c>
      <c r="D69" t="s">
        <v>152</v>
      </c>
    </row>
    <row r="70" spans="1:4" x14ac:dyDescent="0.25">
      <c r="A70" s="2">
        <v>68</v>
      </c>
      <c r="B70" t="s">
        <v>4</v>
      </c>
      <c r="C70" s="166" t="s">
        <v>329</v>
      </c>
      <c r="D70" t="s">
        <v>153</v>
      </c>
    </row>
    <row r="71" spans="1:4" x14ac:dyDescent="0.25">
      <c r="A71" s="2">
        <v>69</v>
      </c>
      <c r="B71" t="s">
        <v>4</v>
      </c>
      <c r="C71" s="166" t="s">
        <v>329</v>
      </c>
      <c r="D71" t="s">
        <v>154</v>
      </c>
    </row>
    <row r="72" spans="1:4" x14ac:dyDescent="0.25">
      <c r="A72" s="2">
        <v>70</v>
      </c>
      <c r="B72" t="s">
        <v>4</v>
      </c>
      <c r="C72" s="166" t="s">
        <v>329</v>
      </c>
      <c r="D72" t="s">
        <v>156</v>
      </c>
    </row>
    <row r="73" spans="1:4" x14ac:dyDescent="0.25">
      <c r="A73" s="2">
        <v>71</v>
      </c>
      <c r="B73" t="s">
        <v>4</v>
      </c>
      <c r="C73" s="166" t="s">
        <v>329</v>
      </c>
      <c r="D73" t="s">
        <v>157</v>
      </c>
    </row>
    <row r="74" spans="1:4" x14ac:dyDescent="0.25">
      <c r="A74" s="2">
        <v>72</v>
      </c>
      <c r="B74" t="s">
        <v>4</v>
      </c>
      <c r="C74" s="166" t="s">
        <v>329</v>
      </c>
      <c r="D74" t="s">
        <v>158</v>
      </c>
    </row>
    <row r="75" spans="1:4" x14ac:dyDescent="0.25">
      <c r="A75" s="2">
        <v>73</v>
      </c>
      <c r="B75" t="s">
        <v>4</v>
      </c>
      <c r="C75" t="s">
        <v>253</v>
      </c>
      <c r="D75" t="s">
        <v>159</v>
      </c>
    </row>
    <row r="76" spans="1:4" x14ac:dyDescent="0.25">
      <c r="A76" s="2">
        <v>74</v>
      </c>
      <c r="B76" t="s">
        <v>4</v>
      </c>
      <c r="C76" t="s">
        <v>253</v>
      </c>
      <c r="D76" t="s">
        <v>160</v>
      </c>
    </row>
    <row r="77" spans="1:4" x14ac:dyDescent="0.25">
      <c r="A77" s="2">
        <v>75</v>
      </c>
      <c r="B77" t="s">
        <v>4</v>
      </c>
      <c r="C77" t="s">
        <v>253</v>
      </c>
      <c r="D77" t="s">
        <v>161</v>
      </c>
    </row>
    <row r="78" spans="1:4" x14ac:dyDescent="0.25">
      <c r="A78" s="2">
        <v>76</v>
      </c>
      <c r="B78" t="s">
        <v>4</v>
      </c>
      <c r="C78" t="s">
        <v>253</v>
      </c>
      <c r="D78" t="s">
        <v>162</v>
      </c>
    </row>
    <row r="79" spans="1:4" x14ac:dyDescent="0.25">
      <c r="A79" s="2">
        <v>77</v>
      </c>
      <c r="B79" t="s">
        <v>4</v>
      </c>
      <c r="C79" t="s">
        <v>178</v>
      </c>
    </row>
    <row r="80" spans="1:4" x14ac:dyDescent="0.25">
      <c r="A80" s="2">
        <v>78</v>
      </c>
      <c r="B80" t="s">
        <v>6</v>
      </c>
      <c r="C80" t="s">
        <v>12</v>
      </c>
      <c r="D80" t="s">
        <v>35</v>
      </c>
    </row>
    <row r="81" spans="1:4" x14ac:dyDescent="0.25">
      <c r="A81" s="2">
        <v>79</v>
      </c>
      <c r="B81" t="s">
        <v>6</v>
      </c>
      <c r="C81" t="s">
        <v>12</v>
      </c>
      <c r="D81" t="s">
        <v>36</v>
      </c>
    </row>
    <row r="82" spans="1:4" x14ac:dyDescent="0.25">
      <c r="A82" s="2">
        <v>80</v>
      </c>
      <c r="B82" t="s">
        <v>6</v>
      </c>
      <c r="C82" t="s">
        <v>12</v>
      </c>
      <c r="D82" t="s">
        <v>37</v>
      </c>
    </row>
    <row r="83" spans="1:4" x14ac:dyDescent="0.25">
      <c r="A83" s="2">
        <v>81</v>
      </c>
      <c r="B83" t="s">
        <v>6</v>
      </c>
      <c r="C83" t="s">
        <v>12</v>
      </c>
      <c r="D83" t="s">
        <v>210</v>
      </c>
    </row>
    <row r="84" spans="1:4" x14ac:dyDescent="0.25">
      <c r="A84" s="2">
        <v>82</v>
      </c>
      <c r="B84" t="s">
        <v>6</v>
      </c>
      <c r="C84" t="s">
        <v>12</v>
      </c>
      <c r="D84" t="s">
        <v>38</v>
      </c>
    </row>
    <row r="85" spans="1:4" x14ac:dyDescent="0.25">
      <c r="A85" s="2">
        <v>83</v>
      </c>
      <c r="B85" t="s">
        <v>6</v>
      </c>
      <c r="C85" t="s">
        <v>12</v>
      </c>
      <c r="D85" t="s">
        <v>39</v>
      </c>
    </row>
    <row r="86" spans="1:4" x14ac:dyDescent="0.25">
      <c r="A86" s="2">
        <v>84</v>
      </c>
      <c r="B86" t="s">
        <v>6</v>
      </c>
      <c r="C86" t="s">
        <v>12</v>
      </c>
      <c r="D86" t="s">
        <v>40</v>
      </c>
    </row>
    <row r="87" spans="1:4" x14ac:dyDescent="0.25">
      <c r="A87" s="2">
        <v>85</v>
      </c>
      <c r="B87" t="s">
        <v>6</v>
      </c>
      <c r="C87" t="s">
        <v>41</v>
      </c>
      <c r="D87" t="s">
        <v>42</v>
      </c>
    </row>
    <row r="88" spans="1:4" x14ac:dyDescent="0.25">
      <c r="A88" s="2">
        <v>86</v>
      </c>
      <c r="B88" t="s">
        <v>6</v>
      </c>
      <c r="C88" t="s">
        <v>41</v>
      </c>
      <c r="D88" t="s">
        <v>43</v>
      </c>
    </row>
    <row r="89" spans="1:4" x14ac:dyDescent="0.25">
      <c r="A89" s="2">
        <v>87</v>
      </c>
      <c r="B89" t="s">
        <v>6</v>
      </c>
      <c r="C89" t="s">
        <v>41</v>
      </c>
      <c r="D89" t="s">
        <v>44</v>
      </c>
    </row>
    <row r="90" spans="1:4" x14ac:dyDescent="0.25">
      <c r="A90" s="2">
        <v>88</v>
      </c>
      <c r="B90" t="s">
        <v>6</v>
      </c>
      <c r="C90" t="s">
        <v>41</v>
      </c>
      <c r="D90" t="s">
        <v>45</v>
      </c>
    </row>
    <row r="91" spans="1:4" x14ac:dyDescent="0.25">
      <c r="A91" s="2">
        <v>89</v>
      </c>
      <c r="B91" t="s">
        <v>6</v>
      </c>
      <c r="C91" t="s">
        <v>41</v>
      </c>
      <c r="D91" t="s">
        <v>46</v>
      </c>
    </row>
    <row r="92" spans="1:4" x14ac:dyDescent="0.25">
      <c r="A92" s="2">
        <v>90</v>
      </c>
      <c r="B92" t="s">
        <v>6</v>
      </c>
      <c r="C92" t="s">
        <v>13</v>
      </c>
      <c r="D92" t="s">
        <v>211</v>
      </c>
    </row>
    <row r="93" spans="1:4" x14ac:dyDescent="0.25">
      <c r="A93" s="2">
        <v>91</v>
      </c>
      <c r="B93" t="s">
        <v>6</v>
      </c>
      <c r="C93" t="s">
        <v>13</v>
      </c>
      <c r="D93" t="s">
        <v>47</v>
      </c>
    </row>
    <row r="94" spans="1:4" x14ac:dyDescent="0.25">
      <c r="A94" s="2">
        <v>92</v>
      </c>
      <c r="B94" t="s">
        <v>6</v>
      </c>
      <c r="C94" t="s">
        <v>13</v>
      </c>
      <c r="D94" t="s">
        <v>48</v>
      </c>
    </row>
    <row r="95" spans="1:4" x14ac:dyDescent="0.25">
      <c r="A95" s="2">
        <v>93</v>
      </c>
      <c r="B95" t="s">
        <v>6</v>
      </c>
      <c r="C95" t="s">
        <v>13</v>
      </c>
      <c r="D95" t="s">
        <v>49</v>
      </c>
    </row>
    <row r="96" spans="1:4" x14ac:dyDescent="0.25">
      <c r="A96" s="2">
        <v>94</v>
      </c>
      <c r="B96" t="s">
        <v>6</v>
      </c>
      <c r="C96" t="s">
        <v>13</v>
      </c>
      <c r="D96" t="s">
        <v>50</v>
      </c>
    </row>
    <row r="97" spans="1:4" x14ac:dyDescent="0.25">
      <c r="A97" s="2">
        <v>95</v>
      </c>
      <c r="B97" t="s">
        <v>6</v>
      </c>
      <c r="C97" t="s">
        <v>51</v>
      </c>
      <c r="D97" t="s">
        <v>52</v>
      </c>
    </row>
    <row r="98" spans="1:4" x14ac:dyDescent="0.25">
      <c r="A98" s="2">
        <v>96</v>
      </c>
      <c r="B98" t="s">
        <v>6</v>
      </c>
      <c r="C98" t="s">
        <v>51</v>
      </c>
      <c r="D98" t="s">
        <v>53</v>
      </c>
    </row>
    <row r="99" spans="1:4" x14ac:dyDescent="0.25">
      <c r="A99" s="2">
        <v>97</v>
      </c>
      <c r="B99" t="s">
        <v>6</v>
      </c>
      <c r="C99" t="s">
        <v>51</v>
      </c>
      <c r="D99" t="s">
        <v>54</v>
      </c>
    </row>
    <row r="100" spans="1:4" x14ac:dyDescent="0.25">
      <c r="A100" s="2">
        <v>98</v>
      </c>
      <c r="B100" t="s">
        <v>6</v>
      </c>
      <c r="C100" t="s">
        <v>195</v>
      </c>
      <c r="D100" t="s">
        <v>212</v>
      </c>
    </row>
    <row r="101" spans="1:4" x14ac:dyDescent="0.25">
      <c r="A101" s="2">
        <v>99</v>
      </c>
      <c r="B101" t="s">
        <v>6</v>
      </c>
      <c r="C101" t="s">
        <v>195</v>
      </c>
      <c r="D101" t="s">
        <v>213</v>
      </c>
    </row>
    <row r="102" spans="1:4" x14ac:dyDescent="0.25">
      <c r="A102" s="2">
        <v>100</v>
      </c>
      <c r="B102" t="s">
        <v>6</v>
      </c>
      <c r="C102" t="s">
        <v>195</v>
      </c>
      <c r="D102" t="s">
        <v>214</v>
      </c>
    </row>
    <row r="103" spans="1:4" x14ac:dyDescent="0.25">
      <c r="A103" s="2">
        <v>101</v>
      </c>
      <c r="B103" t="s">
        <v>6</v>
      </c>
      <c r="C103" t="s">
        <v>195</v>
      </c>
      <c r="D103" t="s">
        <v>215</v>
      </c>
    </row>
    <row r="104" spans="1:4" x14ac:dyDescent="0.25">
      <c r="A104" s="2">
        <v>102</v>
      </c>
      <c r="B104" t="s">
        <v>6</v>
      </c>
      <c r="C104" t="s">
        <v>236</v>
      </c>
      <c r="D104" t="s">
        <v>216</v>
      </c>
    </row>
    <row r="105" spans="1:4" x14ac:dyDescent="0.25">
      <c r="A105" s="2">
        <v>103</v>
      </c>
      <c r="B105" t="s">
        <v>6</v>
      </c>
      <c r="C105" t="s">
        <v>237</v>
      </c>
      <c r="D105" t="s">
        <v>217</v>
      </c>
    </row>
    <row r="106" spans="1:4" x14ac:dyDescent="0.25">
      <c r="A106" s="2">
        <v>104</v>
      </c>
      <c r="B106" t="s">
        <v>6</v>
      </c>
      <c r="C106" t="s">
        <v>237</v>
      </c>
      <c r="D106" t="s">
        <v>55</v>
      </c>
    </row>
    <row r="107" spans="1:4" x14ac:dyDescent="0.25">
      <c r="A107" s="2">
        <v>105</v>
      </c>
      <c r="B107" t="s">
        <v>6</v>
      </c>
      <c r="C107" t="s">
        <v>178</v>
      </c>
    </row>
    <row r="108" spans="1:4" x14ac:dyDescent="0.25">
      <c r="A108" s="2">
        <v>106</v>
      </c>
      <c r="B108" t="s">
        <v>7</v>
      </c>
      <c r="C108" t="s">
        <v>254</v>
      </c>
      <c r="D108" t="s">
        <v>60</v>
      </c>
    </row>
    <row r="109" spans="1:4" x14ac:dyDescent="0.25">
      <c r="A109" s="2">
        <v>107</v>
      </c>
      <c r="B109" t="s">
        <v>7</v>
      </c>
      <c r="C109" t="s">
        <v>254</v>
      </c>
      <c r="D109" t="s">
        <v>61</v>
      </c>
    </row>
    <row r="110" spans="1:4" x14ac:dyDescent="0.25">
      <c r="A110" s="2">
        <v>108</v>
      </c>
      <c r="B110" t="s">
        <v>7</v>
      </c>
      <c r="C110" t="s">
        <v>254</v>
      </c>
      <c r="D110" t="s">
        <v>62</v>
      </c>
    </row>
    <row r="111" spans="1:4" x14ac:dyDescent="0.25">
      <c r="A111" s="2">
        <v>109</v>
      </c>
      <c r="B111" t="s">
        <v>7</v>
      </c>
      <c r="C111" t="s">
        <v>181</v>
      </c>
      <c r="D111" t="s">
        <v>181</v>
      </c>
    </row>
    <row r="112" spans="1:4" x14ac:dyDescent="0.25">
      <c r="A112" s="2">
        <v>110</v>
      </c>
      <c r="B112" t="s">
        <v>7</v>
      </c>
      <c r="C112" t="s">
        <v>63</v>
      </c>
      <c r="D112" t="s">
        <v>64</v>
      </c>
    </row>
    <row r="113" spans="1:4" x14ac:dyDescent="0.25">
      <c r="A113" s="2">
        <v>111</v>
      </c>
      <c r="B113" t="s">
        <v>7</v>
      </c>
      <c r="C113" t="s">
        <v>63</v>
      </c>
      <c r="D113" t="s">
        <v>65</v>
      </c>
    </row>
    <row r="114" spans="1:4" x14ac:dyDescent="0.25">
      <c r="A114" s="2">
        <v>112</v>
      </c>
      <c r="B114" t="s">
        <v>7</v>
      </c>
      <c r="C114" t="s">
        <v>63</v>
      </c>
      <c r="D114" t="s">
        <v>66</v>
      </c>
    </row>
    <row r="115" spans="1:4" x14ac:dyDescent="0.25">
      <c r="A115" s="2">
        <v>113</v>
      </c>
      <c r="B115" t="s">
        <v>7</v>
      </c>
      <c r="C115" t="s">
        <v>63</v>
      </c>
      <c r="D115" t="s">
        <v>67</v>
      </c>
    </row>
    <row r="116" spans="1:4" x14ac:dyDescent="0.25">
      <c r="A116" s="2">
        <v>114</v>
      </c>
      <c r="B116" t="s">
        <v>7</v>
      </c>
      <c r="C116" t="s">
        <v>11</v>
      </c>
      <c r="D116" t="s">
        <v>68</v>
      </c>
    </row>
    <row r="117" spans="1:4" x14ac:dyDescent="0.25">
      <c r="A117" s="2">
        <v>115</v>
      </c>
      <c r="B117" t="s">
        <v>7</v>
      </c>
      <c r="C117" t="s">
        <v>11</v>
      </c>
      <c r="D117" t="s">
        <v>69</v>
      </c>
    </row>
    <row r="118" spans="1:4" x14ac:dyDescent="0.25">
      <c r="A118" s="2">
        <v>116</v>
      </c>
      <c r="B118" t="s">
        <v>7</v>
      </c>
      <c r="C118" t="s">
        <v>11</v>
      </c>
      <c r="D118" t="s">
        <v>70</v>
      </c>
    </row>
    <row r="119" spans="1:4" x14ac:dyDescent="0.25">
      <c r="A119" s="2">
        <v>117</v>
      </c>
      <c r="B119" t="s">
        <v>7</v>
      </c>
      <c r="C119" s="167" t="s">
        <v>255</v>
      </c>
      <c r="D119" s="167" t="s">
        <v>182</v>
      </c>
    </row>
    <row r="120" spans="1:4" x14ac:dyDescent="0.25">
      <c r="A120" s="2">
        <v>118</v>
      </c>
      <c r="B120" t="s">
        <v>7</v>
      </c>
      <c r="C120" s="167" t="s">
        <v>255</v>
      </c>
      <c r="D120" s="167" t="s">
        <v>71</v>
      </c>
    </row>
    <row r="121" spans="1:4" x14ac:dyDescent="0.25">
      <c r="A121" s="2">
        <v>119</v>
      </c>
      <c r="B121" t="s">
        <v>7</v>
      </c>
      <c r="C121" s="167" t="s">
        <v>255</v>
      </c>
      <c r="D121" s="167" t="s">
        <v>72</v>
      </c>
    </row>
    <row r="122" spans="1:4" x14ac:dyDescent="0.25">
      <c r="A122" s="2">
        <v>120</v>
      </c>
      <c r="B122" t="s">
        <v>7</v>
      </c>
      <c r="C122" s="168" t="s">
        <v>238</v>
      </c>
      <c r="D122" s="168" t="s">
        <v>238</v>
      </c>
    </row>
    <row r="123" spans="1:4" x14ac:dyDescent="0.25">
      <c r="A123" s="2">
        <v>121</v>
      </c>
      <c r="B123" t="s">
        <v>7</v>
      </c>
      <c r="C123" t="s">
        <v>73</v>
      </c>
      <c r="D123" t="s">
        <v>244</v>
      </c>
    </row>
    <row r="124" spans="1:4" x14ac:dyDescent="0.25">
      <c r="A124" s="2">
        <v>122</v>
      </c>
      <c r="B124" t="s">
        <v>7</v>
      </c>
      <c r="C124" t="s">
        <v>73</v>
      </c>
      <c r="D124" t="s">
        <v>74</v>
      </c>
    </row>
    <row r="125" spans="1:4" x14ac:dyDescent="0.25">
      <c r="A125" s="2">
        <v>123</v>
      </c>
      <c r="B125" t="s">
        <v>7</v>
      </c>
      <c r="C125" t="s">
        <v>73</v>
      </c>
      <c r="D125" t="s">
        <v>75</v>
      </c>
    </row>
    <row r="126" spans="1:4" x14ac:dyDescent="0.25">
      <c r="A126" s="2">
        <v>124</v>
      </c>
      <c r="B126" t="s">
        <v>7</v>
      </c>
      <c r="C126" t="s">
        <v>76</v>
      </c>
      <c r="D126" t="s">
        <v>77</v>
      </c>
    </row>
    <row r="127" spans="1:4" x14ac:dyDescent="0.25">
      <c r="A127" s="2">
        <v>125</v>
      </c>
      <c r="B127" t="s">
        <v>7</v>
      </c>
      <c r="C127" t="s">
        <v>76</v>
      </c>
      <c r="D127" t="s">
        <v>78</v>
      </c>
    </row>
    <row r="128" spans="1:4" x14ac:dyDescent="0.25">
      <c r="A128" s="2">
        <v>126</v>
      </c>
      <c r="B128" t="s">
        <v>7</v>
      </c>
      <c r="C128" t="s">
        <v>76</v>
      </c>
      <c r="D128" t="s">
        <v>79</v>
      </c>
    </row>
    <row r="129" spans="1:4" x14ac:dyDescent="0.25">
      <c r="A129" s="2">
        <v>127</v>
      </c>
      <c r="B129" t="s">
        <v>7</v>
      </c>
      <c r="C129" t="s">
        <v>76</v>
      </c>
      <c r="D129" t="s">
        <v>80</v>
      </c>
    </row>
    <row r="130" spans="1:4" x14ac:dyDescent="0.25">
      <c r="A130" s="2">
        <v>128</v>
      </c>
      <c r="B130" t="s">
        <v>7</v>
      </c>
      <c r="C130" t="s">
        <v>81</v>
      </c>
      <c r="D130" t="s">
        <v>82</v>
      </c>
    </row>
    <row r="131" spans="1:4" x14ac:dyDescent="0.25">
      <c r="A131" s="2">
        <v>129</v>
      </c>
      <c r="B131" t="s">
        <v>7</v>
      </c>
      <c r="C131" t="s">
        <v>81</v>
      </c>
      <c r="D131" t="s">
        <v>83</v>
      </c>
    </row>
    <row r="132" spans="1:4" x14ac:dyDescent="0.25">
      <c r="A132" s="2">
        <v>130</v>
      </c>
      <c r="B132" t="s">
        <v>7</v>
      </c>
      <c r="C132" t="s">
        <v>81</v>
      </c>
      <c r="D132" t="s">
        <v>84</v>
      </c>
    </row>
    <row r="133" spans="1:4" x14ac:dyDescent="0.25">
      <c r="A133" s="2">
        <v>131</v>
      </c>
      <c r="B133" t="s">
        <v>7</v>
      </c>
      <c r="C133" t="s">
        <v>81</v>
      </c>
      <c r="D133" t="s">
        <v>85</v>
      </c>
    </row>
    <row r="134" spans="1:4" x14ac:dyDescent="0.25">
      <c r="A134" s="2">
        <v>132</v>
      </c>
      <c r="B134" t="s">
        <v>7</v>
      </c>
      <c r="C134" t="s">
        <v>86</v>
      </c>
      <c r="D134" t="s">
        <v>87</v>
      </c>
    </row>
    <row r="135" spans="1:4" x14ac:dyDescent="0.25">
      <c r="A135" s="2">
        <v>133</v>
      </c>
      <c r="B135" t="s">
        <v>7</v>
      </c>
      <c r="C135" t="s">
        <v>86</v>
      </c>
      <c r="D135" t="s">
        <v>88</v>
      </c>
    </row>
    <row r="136" spans="1:4" x14ac:dyDescent="0.25">
      <c r="A136" s="2">
        <v>134</v>
      </c>
      <c r="B136" t="s">
        <v>7</v>
      </c>
      <c r="C136" t="s">
        <v>86</v>
      </c>
      <c r="D136" t="s">
        <v>89</v>
      </c>
    </row>
    <row r="137" spans="1:4" x14ac:dyDescent="0.25">
      <c r="A137" s="2">
        <v>135</v>
      </c>
      <c r="B137" t="s">
        <v>7</v>
      </c>
      <c r="C137" t="s">
        <v>86</v>
      </c>
      <c r="D137" t="s">
        <v>90</v>
      </c>
    </row>
    <row r="138" spans="1:4" x14ac:dyDescent="0.25">
      <c r="A138" s="2">
        <v>136</v>
      </c>
      <c r="B138" t="s">
        <v>7</v>
      </c>
      <c r="C138" t="s">
        <v>184</v>
      </c>
      <c r="D138" t="s">
        <v>219</v>
      </c>
    </row>
    <row r="139" spans="1:4" x14ac:dyDescent="0.25">
      <c r="A139" s="2">
        <v>137</v>
      </c>
      <c r="B139" t="s">
        <v>7</v>
      </c>
      <c r="C139" t="s">
        <v>184</v>
      </c>
      <c r="D139" t="s">
        <v>119</v>
      </c>
    </row>
    <row r="140" spans="1:4" x14ac:dyDescent="0.25">
      <c r="A140" s="2">
        <v>138</v>
      </c>
      <c r="B140" t="s">
        <v>7</v>
      </c>
      <c r="C140" t="s">
        <v>183</v>
      </c>
      <c r="D140" t="s">
        <v>245</v>
      </c>
    </row>
    <row r="141" spans="1:4" x14ac:dyDescent="0.25">
      <c r="A141" s="2">
        <v>139</v>
      </c>
      <c r="B141" t="s">
        <v>7</v>
      </c>
      <c r="C141" t="s">
        <v>183</v>
      </c>
      <c r="D141" t="s">
        <v>91</v>
      </c>
    </row>
    <row r="142" spans="1:4" x14ac:dyDescent="0.25">
      <c r="A142" s="2">
        <v>140</v>
      </c>
      <c r="B142" t="s">
        <v>7</v>
      </c>
      <c r="C142" t="s">
        <v>183</v>
      </c>
      <c r="D142" t="s">
        <v>220</v>
      </c>
    </row>
    <row r="143" spans="1:4" x14ac:dyDescent="0.25">
      <c r="A143" s="2">
        <v>141</v>
      </c>
      <c r="B143" t="s">
        <v>7</v>
      </c>
      <c r="C143" t="s">
        <v>183</v>
      </c>
      <c r="D143" t="s">
        <v>221</v>
      </c>
    </row>
    <row r="144" spans="1:4" x14ac:dyDescent="0.25">
      <c r="A144" s="2">
        <v>142</v>
      </c>
      <c r="B144" t="s">
        <v>7</v>
      </c>
      <c r="C144" t="s">
        <v>330</v>
      </c>
      <c r="D144" t="s">
        <v>331</v>
      </c>
    </row>
    <row r="145" spans="1:4" x14ac:dyDescent="0.25">
      <c r="A145" s="2">
        <v>143</v>
      </c>
      <c r="B145" t="s">
        <v>7</v>
      </c>
      <c r="C145" t="s">
        <v>330</v>
      </c>
      <c r="D145" t="s">
        <v>246</v>
      </c>
    </row>
    <row r="146" spans="1:4" x14ac:dyDescent="0.25">
      <c r="A146" s="2">
        <v>144</v>
      </c>
      <c r="B146" t="s">
        <v>7</v>
      </c>
      <c r="C146" t="s">
        <v>330</v>
      </c>
      <c r="D146" t="s">
        <v>92</v>
      </c>
    </row>
    <row r="147" spans="1:4" x14ac:dyDescent="0.25">
      <c r="A147" s="2">
        <v>145</v>
      </c>
      <c r="B147" t="s">
        <v>7</v>
      </c>
      <c r="C147" t="s">
        <v>330</v>
      </c>
      <c r="D147" t="s">
        <v>185</v>
      </c>
    </row>
    <row r="148" spans="1:4" x14ac:dyDescent="0.25">
      <c r="A148" s="2">
        <v>146</v>
      </c>
      <c r="B148" t="s">
        <v>7</v>
      </c>
      <c r="C148" t="s">
        <v>93</v>
      </c>
      <c r="D148" t="s">
        <v>94</v>
      </c>
    </row>
    <row r="149" spans="1:4" x14ac:dyDescent="0.25">
      <c r="A149" s="2">
        <v>147</v>
      </c>
      <c r="B149" t="s">
        <v>7</v>
      </c>
      <c r="C149" t="s">
        <v>93</v>
      </c>
      <c r="D149" t="s">
        <v>95</v>
      </c>
    </row>
    <row r="150" spans="1:4" x14ac:dyDescent="0.25">
      <c r="A150" s="2">
        <v>148</v>
      </c>
      <c r="B150" t="s">
        <v>7</v>
      </c>
      <c r="C150" t="s">
        <v>93</v>
      </c>
      <c r="D150" t="s">
        <v>96</v>
      </c>
    </row>
    <row r="151" spans="1:4" x14ac:dyDescent="0.25">
      <c r="A151" s="2">
        <v>149</v>
      </c>
      <c r="B151" t="s">
        <v>7</v>
      </c>
      <c r="C151" t="s">
        <v>97</v>
      </c>
      <c r="D151" t="s">
        <v>98</v>
      </c>
    </row>
    <row r="152" spans="1:4" x14ac:dyDescent="0.25">
      <c r="A152" s="2">
        <v>150</v>
      </c>
      <c r="B152" t="s">
        <v>7</v>
      </c>
      <c r="C152" t="s">
        <v>99</v>
      </c>
      <c r="D152" t="s">
        <v>100</v>
      </c>
    </row>
    <row r="153" spans="1:4" x14ac:dyDescent="0.25">
      <c r="A153" s="2">
        <v>151</v>
      </c>
      <c r="B153" t="s">
        <v>7</v>
      </c>
      <c r="C153" t="s">
        <v>99</v>
      </c>
      <c r="D153" t="s">
        <v>101</v>
      </c>
    </row>
    <row r="154" spans="1:4" x14ac:dyDescent="0.25">
      <c r="A154" s="2">
        <v>152</v>
      </c>
      <c r="B154" t="s">
        <v>7</v>
      </c>
      <c r="C154" t="s">
        <v>99</v>
      </c>
      <c r="D154" t="s">
        <v>102</v>
      </c>
    </row>
    <row r="155" spans="1:4" x14ac:dyDescent="0.25">
      <c r="A155" s="2">
        <v>153</v>
      </c>
      <c r="B155" t="s">
        <v>7</v>
      </c>
      <c r="C155" t="s">
        <v>178</v>
      </c>
    </row>
    <row r="156" spans="1:4" x14ac:dyDescent="0.25">
      <c r="A156" s="2">
        <v>154</v>
      </c>
      <c r="B156" t="s">
        <v>7</v>
      </c>
      <c r="C156" t="s">
        <v>56</v>
      </c>
      <c r="D156" t="s">
        <v>239</v>
      </c>
    </row>
    <row r="157" spans="1:4" x14ac:dyDescent="0.25">
      <c r="A157" s="2">
        <v>155</v>
      </c>
      <c r="B157" t="s">
        <v>7</v>
      </c>
      <c r="C157" t="s">
        <v>56</v>
      </c>
      <c r="D157" t="s">
        <v>57</v>
      </c>
    </row>
    <row r="158" spans="1:4" x14ac:dyDescent="0.25">
      <c r="A158" s="2">
        <v>156</v>
      </c>
      <c r="B158" t="s">
        <v>7</v>
      </c>
      <c r="C158" t="s">
        <v>56</v>
      </c>
      <c r="D158" t="s">
        <v>58</v>
      </c>
    </row>
    <row r="159" spans="1:4" x14ac:dyDescent="0.25">
      <c r="A159" s="2">
        <v>157</v>
      </c>
      <c r="B159" t="s">
        <v>7</v>
      </c>
      <c r="C159" t="s">
        <v>56</v>
      </c>
      <c r="D159" t="s">
        <v>218</v>
      </c>
    </row>
    <row r="160" spans="1:4" x14ac:dyDescent="0.25">
      <c r="A160" s="2">
        <v>158</v>
      </c>
      <c r="B160" t="s">
        <v>7</v>
      </c>
      <c r="C160" t="s">
        <v>56</v>
      </c>
      <c r="D160" t="s">
        <v>59</v>
      </c>
    </row>
    <row r="161" spans="1:4" x14ac:dyDescent="0.25">
      <c r="A161" s="2">
        <v>159</v>
      </c>
      <c r="B161" t="s">
        <v>240</v>
      </c>
      <c r="C161" t="s">
        <v>241</v>
      </c>
      <c r="D161" t="s">
        <v>247</v>
      </c>
    </row>
    <row r="162" spans="1:4" x14ac:dyDescent="0.25">
      <c r="A162" s="2">
        <v>160</v>
      </c>
      <c r="B162" t="s">
        <v>240</v>
      </c>
      <c r="C162" t="s">
        <v>256</v>
      </c>
      <c r="D162" t="s">
        <v>256</v>
      </c>
    </row>
    <row r="163" spans="1:4" x14ac:dyDescent="0.25">
      <c r="A163" s="2">
        <v>161</v>
      </c>
      <c r="B163" t="s">
        <v>240</v>
      </c>
      <c r="C163" t="s">
        <v>248</v>
      </c>
      <c r="D163" t="s">
        <v>248</v>
      </c>
    </row>
    <row r="164" spans="1:4" x14ac:dyDescent="0.25">
      <c r="A164" s="2">
        <v>162</v>
      </c>
      <c r="B164" t="s">
        <v>240</v>
      </c>
      <c r="C164" t="s">
        <v>242</v>
      </c>
      <c r="D164" t="s">
        <v>249</v>
      </c>
    </row>
    <row r="165" spans="1:4" x14ac:dyDescent="0.25">
      <c r="A165" s="2">
        <v>163</v>
      </c>
      <c r="B165" s="173" t="s">
        <v>240</v>
      </c>
      <c r="C165" s="173" t="s">
        <v>369</v>
      </c>
      <c r="D165" s="173" t="s">
        <v>370</v>
      </c>
    </row>
    <row r="166" spans="1:4" x14ac:dyDescent="0.25">
      <c r="A166" s="2">
        <v>164</v>
      </c>
      <c r="B166" t="s">
        <v>240</v>
      </c>
      <c r="C166" t="s">
        <v>178</v>
      </c>
    </row>
    <row r="167" spans="1:4" x14ac:dyDescent="0.25">
      <c r="A167">
        <v>165</v>
      </c>
      <c r="B167" t="s">
        <v>273</v>
      </c>
      <c r="C167" t="s">
        <v>299</v>
      </c>
      <c r="D167" t="s">
        <v>357</v>
      </c>
    </row>
    <row r="168" spans="1:4" x14ac:dyDescent="0.25">
      <c r="A168">
        <v>166</v>
      </c>
      <c r="B168" t="s">
        <v>273</v>
      </c>
      <c r="C168" t="s">
        <v>299</v>
      </c>
      <c r="D168" t="s">
        <v>274</v>
      </c>
    </row>
    <row r="169" spans="1:4" x14ac:dyDescent="0.25">
      <c r="A169">
        <v>167</v>
      </c>
      <c r="B169" t="s">
        <v>273</v>
      </c>
      <c r="C169" t="s">
        <v>299</v>
      </c>
      <c r="D169" t="s">
        <v>275</v>
      </c>
    </row>
    <row r="170" spans="1:4" x14ac:dyDescent="0.25">
      <c r="A170">
        <v>168</v>
      </c>
      <c r="B170" t="s">
        <v>273</v>
      </c>
      <c r="C170" t="s">
        <v>300</v>
      </c>
      <c r="D170" t="s">
        <v>276</v>
      </c>
    </row>
    <row r="171" spans="1:4" x14ac:dyDescent="0.25">
      <c r="A171">
        <v>169</v>
      </c>
      <c r="B171" t="s">
        <v>273</v>
      </c>
      <c r="C171" t="s">
        <v>300</v>
      </c>
      <c r="D171" t="s">
        <v>277</v>
      </c>
    </row>
    <row r="172" spans="1:4" x14ac:dyDescent="0.25">
      <c r="A172">
        <v>170</v>
      </c>
      <c r="B172" t="s">
        <v>273</v>
      </c>
      <c r="C172" t="s">
        <v>300</v>
      </c>
      <c r="D172" t="s">
        <v>278</v>
      </c>
    </row>
    <row r="173" spans="1:4" x14ac:dyDescent="0.25">
      <c r="A173">
        <v>171</v>
      </c>
      <c r="B173" t="s">
        <v>273</v>
      </c>
      <c r="C173" t="s">
        <v>300</v>
      </c>
      <c r="D173" t="s">
        <v>279</v>
      </c>
    </row>
    <row r="174" spans="1:4" x14ac:dyDescent="0.25">
      <c r="A174">
        <v>172</v>
      </c>
      <c r="B174" t="s">
        <v>273</v>
      </c>
      <c r="C174" t="s">
        <v>300</v>
      </c>
      <c r="D174" t="s">
        <v>280</v>
      </c>
    </row>
    <row r="175" spans="1:4" x14ac:dyDescent="0.25">
      <c r="A175">
        <v>173</v>
      </c>
      <c r="B175" t="s">
        <v>273</v>
      </c>
      <c r="C175" t="s">
        <v>300</v>
      </c>
      <c r="D175" t="s">
        <v>281</v>
      </c>
    </row>
    <row r="176" spans="1:4" x14ac:dyDescent="0.25">
      <c r="A176">
        <v>174</v>
      </c>
      <c r="B176" t="s">
        <v>273</v>
      </c>
      <c r="C176" t="s">
        <v>301</v>
      </c>
      <c r="D176" t="s">
        <v>282</v>
      </c>
    </row>
    <row r="177" spans="1:4" x14ac:dyDescent="0.25">
      <c r="A177">
        <v>175</v>
      </c>
      <c r="B177" t="s">
        <v>273</v>
      </c>
      <c r="C177" t="s">
        <v>301</v>
      </c>
      <c r="D177" t="s">
        <v>283</v>
      </c>
    </row>
    <row r="178" spans="1:4" x14ac:dyDescent="0.25">
      <c r="A178">
        <v>176</v>
      </c>
      <c r="B178" t="s">
        <v>273</v>
      </c>
      <c r="C178" t="s">
        <v>301</v>
      </c>
      <c r="D178" t="s">
        <v>284</v>
      </c>
    </row>
    <row r="179" spans="1:4" x14ac:dyDescent="0.25">
      <c r="A179">
        <v>177</v>
      </c>
      <c r="B179" t="s">
        <v>273</v>
      </c>
      <c r="C179" t="s">
        <v>302</v>
      </c>
      <c r="D179" t="s">
        <v>285</v>
      </c>
    </row>
    <row r="180" spans="1:4" x14ac:dyDescent="0.25">
      <c r="A180">
        <v>178</v>
      </c>
      <c r="B180" t="s">
        <v>273</v>
      </c>
      <c r="C180" t="s">
        <v>302</v>
      </c>
      <c r="D180" t="s">
        <v>286</v>
      </c>
    </row>
    <row r="181" spans="1:4" x14ac:dyDescent="0.25">
      <c r="A181">
        <v>179</v>
      </c>
      <c r="B181" t="s">
        <v>273</v>
      </c>
      <c r="C181" t="s">
        <v>302</v>
      </c>
      <c r="D181" t="s">
        <v>287</v>
      </c>
    </row>
    <row r="182" spans="1:4" x14ac:dyDescent="0.25">
      <c r="A182">
        <v>180</v>
      </c>
      <c r="B182" t="s">
        <v>273</v>
      </c>
      <c r="C182" t="s">
        <v>302</v>
      </c>
      <c r="D182" t="s">
        <v>288</v>
      </c>
    </row>
    <row r="183" spans="1:4" x14ac:dyDescent="0.25">
      <c r="A183">
        <v>181</v>
      </c>
      <c r="B183" t="s">
        <v>273</v>
      </c>
      <c r="C183" t="s">
        <v>302</v>
      </c>
      <c r="D183" t="s">
        <v>289</v>
      </c>
    </row>
    <row r="184" spans="1:4" x14ac:dyDescent="0.25">
      <c r="A184">
        <v>182</v>
      </c>
      <c r="B184" t="s">
        <v>273</v>
      </c>
      <c r="C184" t="s">
        <v>302</v>
      </c>
      <c r="D184" t="s">
        <v>290</v>
      </c>
    </row>
    <row r="185" spans="1:4" x14ac:dyDescent="0.25">
      <c r="A185">
        <v>183</v>
      </c>
      <c r="B185" t="s">
        <v>273</v>
      </c>
      <c r="C185" t="s">
        <v>302</v>
      </c>
      <c r="D185" t="s">
        <v>291</v>
      </c>
    </row>
    <row r="186" spans="1:4" x14ac:dyDescent="0.25">
      <c r="A186">
        <v>184</v>
      </c>
      <c r="B186" t="s">
        <v>273</v>
      </c>
      <c r="C186" t="s">
        <v>302</v>
      </c>
      <c r="D186" t="s">
        <v>292</v>
      </c>
    </row>
    <row r="187" spans="1:4" x14ac:dyDescent="0.25">
      <c r="A187">
        <v>185</v>
      </c>
      <c r="B187" t="s">
        <v>273</v>
      </c>
      <c r="C187" t="s">
        <v>302</v>
      </c>
      <c r="D187" t="s">
        <v>293</v>
      </c>
    </row>
    <row r="188" spans="1:4" x14ac:dyDescent="0.25">
      <c r="A188">
        <v>186</v>
      </c>
      <c r="B188" t="s">
        <v>273</v>
      </c>
      <c r="C188" t="s">
        <v>302</v>
      </c>
      <c r="D188" t="s">
        <v>294</v>
      </c>
    </row>
    <row r="189" spans="1:4" x14ac:dyDescent="0.25">
      <c r="A189">
        <v>187</v>
      </c>
      <c r="B189" t="s">
        <v>273</v>
      </c>
      <c r="C189" t="s">
        <v>303</v>
      </c>
      <c r="D189" t="s">
        <v>295</v>
      </c>
    </row>
    <row r="190" spans="1:4" x14ac:dyDescent="0.25">
      <c r="A190">
        <v>188</v>
      </c>
      <c r="B190" t="s">
        <v>273</v>
      </c>
      <c r="C190" t="s">
        <v>304</v>
      </c>
      <c r="D190" t="s">
        <v>358</v>
      </c>
    </row>
    <row r="191" spans="1:4" x14ac:dyDescent="0.25">
      <c r="A191">
        <v>189</v>
      </c>
      <c r="B191" t="s">
        <v>273</v>
      </c>
      <c r="C191" t="s">
        <v>304</v>
      </c>
      <c r="D191" t="s">
        <v>296</v>
      </c>
    </row>
    <row r="192" spans="1:4" x14ac:dyDescent="0.25">
      <c r="A192">
        <v>190</v>
      </c>
      <c r="B192" t="s">
        <v>273</v>
      </c>
      <c r="C192" t="s">
        <v>304</v>
      </c>
      <c r="D192" t="s">
        <v>297</v>
      </c>
    </row>
    <row r="193" spans="1:4" x14ac:dyDescent="0.25">
      <c r="A193">
        <f>A192+1</f>
        <v>191</v>
      </c>
      <c r="B193" t="s">
        <v>273</v>
      </c>
      <c r="C193" t="s">
        <v>304</v>
      </c>
      <c r="D193" t="s">
        <v>298</v>
      </c>
    </row>
    <row r="194" spans="1:4" x14ac:dyDescent="0.25">
      <c r="A194">
        <f t="shared" ref="A194:A214" si="1">A193+1</f>
        <v>192</v>
      </c>
      <c r="B194" s="169" t="s">
        <v>7</v>
      </c>
      <c r="C194" s="170" t="s">
        <v>332</v>
      </c>
      <c r="D194" s="165" t="s">
        <v>333</v>
      </c>
    </row>
    <row r="195" spans="1:4" x14ac:dyDescent="0.25">
      <c r="A195">
        <f t="shared" si="1"/>
        <v>193</v>
      </c>
      <c r="B195" s="165" t="s">
        <v>5</v>
      </c>
      <c r="C195" s="171" t="s">
        <v>274</v>
      </c>
      <c r="D195" s="165" t="s">
        <v>336</v>
      </c>
    </row>
    <row r="196" spans="1:4" x14ac:dyDescent="0.25">
      <c r="A196">
        <f t="shared" si="1"/>
        <v>194</v>
      </c>
      <c r="B196" s="165" t="s">
        <v>5</v>
      </c>
      <c r="C196" s="171" t="s">
        <v>274</v>
      </c>
      <c r="D196" s="165" t="s">
        <v>337</v>
      </c>
    </row>
    <row r="197" spans="1:4" x14ac:dyDescent="0.25">
      <c r="A197">
        <f t="shared" si="1"/>
        <v>195</v>
      </c>
      <c r="B197" s="165" t="s">
        <v>334</v>
      </c>
      <c r="C197" s="171" t="s">
        <v>338</v>
      </c>
      <c r="D197" s="165" t="s">
        <v>251</v>
      </c>
    </row>
    <row r="198" spans="1:4" x14ac:dyDescent="0.25">
      <c r="A198">
        <f t="shared" si="1"/>
        <v>196</v>
      </c>
      <c r="B198" s="165" t="s">
        <v>334</v>
      </c>
      <c r="C198" s="171" t="s">
        <v>339</v>
      </c>
      <c r="D198" s="165" t="s">
        <v>104</v>
      </c>
    </row>
    <row r="199" spans="1:4" x14ac:dyDescent="0.25">
      <c r="A199">
        <f t="shared" si="1"/>
        <v>197</v>
      </c>
      <c r="B199" s="165" t="s">
        <v>334</v>
      </c>
      <c r="C199" s="171" t="s">
        <v>340</v>
      </c>
      <c r="D199" s="165" t="s">
        <v>193</v>
      </c>
    </row>
    <row r="200" spans="1:4" x14ac:dyDescent="0.25">
      <c r="A200">
        <f t="shared" si="1"/>
        <v>198</v>
      </c>
      <c r="B200" s="165" t="s">
        <v>334</v>
      </c>
      <c r="C200" s="171" t="s">
        <v>341</v>
      </c>
      <c r="D200" s="165" t="s">
        <v>329</v>
      </c>
    </row>
    <row r="201" spans="1:4" x14ac:dyDescent="0.25">
      <c r="A201">
        <f t="shared" si="1"/>
        <v>199</v>
      </c>
      <c r="B201" s="165" t="s">
        <v>334</v>
      </c>
      <c r="C201" s="171" t="s">
        <v>342</v>
      </c>
      <c r="D201" s="165" t="s">
        <v>253</v>
      </c>
    </row>
    <row r="202" spans="1:4" x14ac:dyDescent="0.25">
      <c r="A202">
        <f t="shared" si="1"/>
        <v>200</v>
      </c>
      <c r="B202" s="165" t="s">
        <v>334</v>
      </c>
      <c r="C202" s="171" t="s">
        <v>343</v>
      </c>
      <c r="D202" s="165" t="s">
        <v>252</v>
      </c>
    </row>
    <row r="203" spans="1:4" x14ac:dyDescent="0.25">
      <c r="A203">
        <f t="shared" si="1"/>
        <v>201</v>
      </c>
      <c r="B203" s="165" t="s">
        <v>334</v>
      </c>
      <c r="C203" s="171" t="s">
        <v>344</v>
      </c>
      <c r="D203" s="165" t="s">
        <v>41</v>
      </c>
    </row>
    <row r="204" spans="1:4" x14ac:dyDescent="0.25">
      <c r="A204">
        <f t="shared" si="1"/>
        <v>202</v>
      </c>
      <c r="B204" s="165" t="s">
        <v>334</v>
      </c>
      <c r="C204" s="171" t="s">
        <v>345</v>
      </c>
      <c r="D204" s="165" t="s">
        <v>237</v>
      </c>
    </row>
    <row r="205" spans="1:4" x14ac:dyDescent="0.25">
      <c r="A205">
        <f t="shared" si="1"/>
        <v>203</v>
      </c>
      <c r="B205" s="165" t="s">
        <v>334</v>
      </c>
      <c r="C205" s="171" t="s">
        <v>346</v>
      </c>
      <c r="D205" s="165" t="s">
        <v>195</v>
      </c>
    </row>
    <row r="206" spans="1:4" x14ac:dyDescent="0.25">
      <c r="A206">
        <f t="shared" si="1"/>
        <v>204</v>
      </c>
      <c r="B206" s="165" t="s">
        <v>334</v>
      </c>
      <c r="C206" s="171" t="s">
        <v>347</v>
      </c>
      <c r="D206" s="165" t="s">
        <v>12</v>
      </c>
    </row>
    <row r="207" spans="1:4" x14ac:dyDescent="0.25">
      <c r="A207">
        <f t="shared" si="1"/>
        <v>205</v>
      </c>
      <c r="B207" s="165" t="s">
        <v>334</v>
      </c>
      <c r="C207" s="171" t="s">
        <v>348</v>
      </c>
      <c r="D207" s="165" t="s">
        <v>187</v>
      </c>
    </row>
    <row r="208" spans="1:4" x14ac:dyDescent="0.25">
      <c r="A208">
        <f t="shared" si="1"/>
        <v>206</v>
      </c>
      <c r="B208" s="165" t="s">
        <v>334</v>
      </c>
      <c r="C208" s="171" t="s">
        <v>349</v>
      </c>
      <c r="D208" s="165" t="s">
        <v>188</v>
      </c>
    </row>
    <row r="209" spans="1:4" x14ac:dyDescent="0.25">
      <c r="A209">
        <f t="shared" si="1"/>
        <v>207</v>
      </c>
      <c r="B209" s="165" t="s">
        <v>334</v>
      </c>
      <c r="C209" s="171" t="s">
        <v>350</v>
      </c>
      <c r="D209" s="165" t="s">
        <v>235</v>
      </c>
    </row>
    <row r="210" spans="1:4" x14ac:dyDescent="0.25">
      <c r="A210">
        <f t="shared" si="1"/>
        <v>208</v>
      </c>
      <c r="B210" s="165" t="s">
        <v>334</v>
      </c>
      <c r="C210" s="171" t="s">
        <v>351</v>
      </c>
      <c r="D210" s="165" t="s">
        <v>189</v>
      </c>
    </row>
    <row r="211" spans="1:4" x14ac:dyDescent="0.25">
      <c r="A211">
        <f t="shared" si="1"/>
        <v>209</v>
      </c>
      <c r="B211" s="165" t="s">
        <v>334</v>
      </c>
      <c r="C211" s="171" t="s">
        <v>352</v>
      </c>
      <c r="D211" s="165" t="s">
        <v>190</v>
      </c>
    </row>
    <row r="212" spans="1:4" x14ac:dyDescent="0.25">
      <c r="A212">
        <f t="shared" si="1"/>
        <v>210</v>
      </c>
      <c r="B212" s="165" t="s">
        <v>334</v>
      </c>
      <c r="C212" s="171" t="s">
        <v>353</v>
      </c>
      <c r="D212" s="165" t="s">
        <v>191</v>
      </c>
    </row>
    <row r="213" spans="1:4" x14ac:dyDescent="0.25">
      <c r="A213">
        <f t="shared" si="1"/>
        <v>211</v>
      </c>
      <c r="B213" s="165" t="s">
        <v>334</v>
      </c>
      <c r="C213" s="171" t="s">
        <v>354</v>
      </c>
      <c r="D213" s="165" t="s">
        <v>103</v>
      </c>
    </row>
    <row r="214" spans="1:4" x14ac:dyDescent="0.25">
      <c r="A214">
        <f t="shared" si="1"/>
        <v>212</v>
      </c>
      <c r="B214" s="165" t="s">
        <v>334</v>
      </c>
      <c r="C214" s="171" t="s">
        <v>355</v>
      </c>
      <c r="D214" s="165" t="s">
        <v>274</v>
      </c>
    </row>
    <row r="215" spans="1:4" x14ac:dyDescent="0.25">
      <c r="B215" s="165" t="s">
        <v>334</v>
      </c>
      <c r="C215" s="170" t="s">
        <v>356</v>
      </c>
      <c r="D215" s="165"/>
    </row>
  </sheetData>
  <sheetProtection algorithmName="SHA-512" hashValue="tRM+NUPFDEtpnJMoWP6cGDhUoOik4DxsEyfP+Dkm1+1IZfP6V1uss5Jhf/Rviw3EWlkfiuqX8pByV2iCGtKMBQ==" saltValue="U0slhx+xhl9qNuQxtGJ2Jw==" spinCount="100000" sheet="1" objects="1" scenarios="1"/>
  <hyperlinks>
    <hyperlink ref="C26" location="AMS!A17" display="Guidance and Mentoring to lower JLs" xr:uid="{831D8E89-A467-4CB2-B9BF-3B266079ECDA}"/>
    <hyperlink ref="C27" location="AMS!A17" display="Guidance and Mentoring to lower JLs" xr:uid="{EFCF25EC-311D-44FB-83CA-81B5939AB972}"/>
  </hyperlinks>
  <pageMargins left="0.7" right="0.7" top="0.75" bottom="0.75" header="0.3" footer="0.3"/>
  <pageSetup paperSize="9" orientation="portrait" r:id="rId9"/>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B078309639B8642ABF24DE3A08E97EA" ma:contentTypeVersion="7" ma:contentTypeDescription="Create a new document." ma:contentTypeScope="" ma:versionID="e1ef34b1c6bb54fb88666575039f7ba0">
  <xsd:schema xmlns:xsd="http://www.w3.org/2001/XMLSchema" xmlns:xs="http://www.w3.org/2001/XMLSchema" xmlns:p="http://schemas.microsoft.com/office/2006/metadata/properties" xmlns:ns2="75f8bcfb-7d4e-46c7-bfeb-37ca4af73b8b" targetNamespace="http://schemas.microsoft.com/office/2006/metadata/properties" ma:root="true" ma:fieldsID="5389f1992dc17e6439cd41084953662b" ns2:_="">
    <xsd:import namespace="75f8bcfb-7d4e-46c7-bfeb-37ca4af73b8b"/>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f8bcfb-7d4e-46c7-bfeb-37ca4af73b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CB6650E-D5F4-43E1-A017-912C8C8310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f8bcfb-7d4e-46c7-bfeb-37ca4af73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D34488E-F4FD-44F0-AFE7-796B09FDEFEF}">
  <ds:schemaRefs>
    <ds:schemaRef ds:uri="http://schemas.microsoft.com/sharepoint/v3/contenttype/forms"/>
  </ds:schemaRefs>
</ds:datastoreItem>
</file>

<file path=customXml/itemProps3.xml><?xml version="1.0" encoding="utf-8"?>
<ds:datastoreItem xmlns:ds="http://schemas.openxmlformats.org/officeDocument/2006/customXml" ds:itemID="{815DE3D4-B5E8-42A1-960D-4A085FD27F99}">
  <ds:schemaRefs>
    <ds:schemaRef ds:uri="http://schemas.microsoft.com/office/2006/documentManagement/types"/>
    <ds:schemaRef ds:uri="http://purl.org/dc/dcmitype/"/>
    <ds:schemaRef ds:uri="http://schemas.microsoft.com/office/2006/metadata/properties"/>
    <ds:schemaRef ds:uri="http://schemas.openxmlformats.org/package/2006/metadata/core-properties"/>
    <ds:schemaRef ds:uri="http://purl.org/dc/terms/"/>
    <ds:schemaRef ds:uri="http://purl.org/dc/elements/1.1/"/>
    <ds:schemaRef ds:uri="http://www.w3.org/XML/1998/namespace"/>
    <ds:schemaRef ds:uri="75f8bcfb-7d4e-46c7-bfeb-37ca4af73b8b"/>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Summary</vt:lpstr>
      <vt:lpstr>DILO Observations</vt:lpstr>
      <vt:lpstr>Look-up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Ajeeth P.</dc:creator>
  <cp:lastModifiedBy>Venkat Ramanan</cp:lastModifiedBy>
  <dcterms:created xsi:type="dcterms:W3CDTF">2020-09-24T07:54:52Z</dcterms:created>
  <dcterms:modified xsi:type="dcterms:W3CDTF">2021-08-13T05:29:32Z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Ajeeth_P@ad.infosys.com</vt:lpwstr>
  </property>
  <property fmtid="{D5CDD505-2E9C-101B-9397-08002B2CF9AE}" pid="5" name="MSIP_Label_be4b3411-284d-4d31-bd4f-bc13ef7f1fd6_SetDate">
    <vt:lpwstr>2020-09-24T07:55:23.4485498Z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109cff51-d163-4552-bb35-8be32d09b1c3</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iteId">
    <vt:lpwstr>63ce7d59-2f3e-42cd-a8cc-be764cff5eb6</vt:lpwstr>
  </property>
  <property fmtid="{D5CDD505-2E9C-101B-9397-08002B2CF9AE}" pid="12" name="MSIP_Label_a0819fa7-4367-4500-ba88-dd630d977609_Owner">
    <vt:lpwstr>Ajeeth_P@ad.infosys.com</vt:lpwstr>
  </property>
  <property fmtid="{D5CDD505-2E9C-101B-9397-08002B2CF9AE}" pid="13" name="MSIP_Label_a0819fa7-4367-4500-ba88-dd630d977609_SetDate">
    <vt:lpwstr>2020-09-24T07:55:23.4485498Z</vt:lpwstr>
  </property>
  <property fmtid="{D5CDD505-2E9C-101B-9397-08002B2CF9AE}" pid="14" name="MSIP_Label_a0819fa7-4367-4500-ba88-dd630d977609_Name">
    <vt:lpwstr>Companywide usage</vt:lpwstr>
  </property>
  <property fmtid="{D5CDD505-2E9C-101B-9397-08002B2CF9AE}" pid="15" name="MSIP_Label_a0819fa7-4367-4500-ba88-dd630d977609_Application">
    <vt:lpwstr>Microsoft Azure Information Protection</vt:lpwstr>
  </property>
  <property fmtid="{D5CDD505-2E9C-101B-9397-08002B2CF9AE}" pid="16" name="MSIP_Label_a0819fa7-4367-4500-ba88-dd630d977609_ActionId">
    <vt:lpwstr>109cff51-d163-4552-bb35-8be32d09b1c3</vt:lpwstr>
  </property>
  <property fmtid="{D5CDD505-2E9C-101B-9397-08002B2CF9AE}" pid="17" name="MSIP_Label_a0819fa7-4367-4500-ba88-dd630d977609_Parent">
    <vt:lpwstr>be4b3411-284d-4d31-bd4f-bc13ef7f1fd6</vt:lpwstr>
  </property>
  <property fmtid="{D5CDD505-2E9C-101B-9397-08002B2CF9AE}" pid="18" name="MSIP_Label_a0819fa7-4367-4500-ba88-dd630d977609_Extended_MSFT_Method">
    <vt:lpwstr>Automatic</vt:lpwstr>
  </property>
  <property fmtid="{D5CDD505-2E9C-101B-9397-08002B2CF9AE}" pid="19" name="Sensitivity">
    <vt:lpwstr>Internal Companywide usage</vt:lpwstr>
  </property>
  <property fmtid="{D5CDD505-2E9C-101B-9397-08002B2CF9AE}" pid="20" name="ContentTypeId">
    <vt:lpwstr>0x0101008B078309639B8642ABF24DE3A08E97EA</vt:lpwstr>
  </property>
</Properties>
</file>